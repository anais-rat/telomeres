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sca/ownCloud/FinalCut_Berardi/FinalCut_et_al_RawData/Microfluidics/Fc2.2_new guide/Microfluidic analyses/TG20/noDox/"/>
    </mc:Choice>
  </mc:AlternateContent>
  <xr:revisionPtr revIDLastSave="0" documentId="13_ncr:1_{4770C5A5-7654-B04B-9F81-725D2E5256AE}" xr6:coauthVersionLast="45" xr6:coauthVersionMax="45" xr10:uidLastSave="{00000000-0000-0000-0000-000000000000}"/>
  <bookViews>
    <workbookView xWindow="960" yWindow="500" windowWidth="23480" windowHeight="15720" xr2:uid="{D78DCD58-CE01-E24E-8372-BC036D1B4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2" i="1" l="1"/>
  <c r="G93" i="1" s="1"/>
  <c r="G94" i="1" s="1"/>
  <c r="H92" i="1"/>
  <c r="H93" i="1" s="1"/>
  <c r="H94" i="1" s="1"/>
  <c r="I92" i="1"/>
  <c r="I93" i="1" s="1"/>
  <c r="I94" i="1" s="1"/>
  <c r="J92" i="1"/>
  <c r="J93" i="1" s="1"/>
  <c r="J94" i="1" s="1"/>
  <c r="K92" i="1"/>
  <c r="K93" i="1" s="1"/>
  <c r="K94" i="1" s="1"/>
  <c r="L92" i="1"/>
  <c r="L93" i="1" s="1"/>
  <c r="L94" i="1" s="1"/>
  <c r="M92" i="1"/>
  <c r="M93" i="1" s="1"/>
  <c r="M94" i="1" s="1"/>
  <c r="N92" i="1"/>
  <c r="N93" i="1" s="1"/>
  <c r="N94" i="1" s="1"/>
  <c r="O92" i="1"/>
  <c r="O93" i="1" s="1"/>
  <c r="O94" i="1" s="1"/>
  <c r="F92" i="1"/>
  <c r="F93" i="1" s="1"/>
  <c r="F94" i="1" s="1"/>
  <c r="G35" i="1" l="1"/>
  <c r="G36" i="1" s="1"/>
  <c r="G37" i="1" s="1"/>
  <c r="H35" i="1"/>
  <c r="H36" i="1" s="1"/>
  <c r="H37" i="1" s="1"/>
  <c r="I35" i="1"/>
  <c r="I36" i="1" s="1"/>
  <c r="I37" i="1" s="1"/>
  <c r="J35" i="1"/>
  <c r="J36" i="1" s="1"/>
  <c r="J37" i="1" s="1"/>
  <c r="K35" i="1"/>
  <c r="K36" i="1" s="1"/>
  <c r="K37" i="1" s="1"/>
  <c r="L35" i="1"/>
  <c r="L36" i="1" s="1"/>
  <c r="L37" i="1" s="1"/>
  <c r="M35" i="1"/>
  <c r="M36" i="1" s="1"/>
  <c r="M37" i="1" s="1"/>
  <c r="N35" i="1"/>
  <c r="N36" i="1" s="1"/>
  <c r="N37" i="1" s="1"/>
  <c r="O35" i="1"/>
  <c r="O36" i="1" s="1"/>
  <c r="O37" i="1" s="1"/>
  <c r="F35" i="1"/>
  <c r="F36" i="1" s="1"/>
  <c r="F37" i="1" s="1"/>
  <c r="G30" i="1"/>
  <c r="H30" i="1"/>
  <c r="I30" i="1"/>
  <c r="I31" i="1" s="1"/>
  <c r="I32" i="1" s="1"/>
  <c r="J30" i="1"/>
  <c r="J31" i="1" s="1"/>
  <c r="J32" i="1" s="1"/>
  <c r="K30" i="1"/>
  <c r="K31" i="1" s="1"/>
  <c r="K32" i="1" s="1"/>
  <c r="L30" i="1"/>
  <c r="L31" i="1" s="1"/>
  <c r="L32" i="1" s="1"/>
  <c r="M30" i="1"/>
  <c r="M31" i="1" s="1"/>
  <c r="M32" i="1" s="1"/>
  <c r="N30" i="1"/>
  <c r="N31" i="1" s="1"/>
  <c r="N32" i="1" s="1"/>
  <c r="G31" i="1"/>
  <c r="G32" i="1" s="1"/>
  <c r="H31" i="1"/>
  <c r="H32" i="1" s="1"/>
  <c r="F30" i="1"/>
  <c r="F31" i="1" s="1"/>
  <c r="F32" i="1" s="1"/>
  <c r="G25" i="1"/>
  <c r="G26" i="1" s="1"/>
  <c r="G27" i="1" s="1"/>
  <c r="H25" i="1"/>
  <c r="H26" i="1" s="1"/>
  <c r="H27" i="1" s="1"/>
  <c r="I25" i="1"/>
  <c r="I26" i="1" s="1"/>
  <c r="I27" i="1" s="1"/>
  <c r="J25" i="1"/>
  <c r="J26" i="1" s="1"/>
  <c r="J27" i="1" s="1"/>
  <c r="K25" i="1"/>
  <c r="K26" i="1" s="1"/>
  <c r="K27" i="1" s="1"/>
  <c r="L25" i="1"/>
  <c r="L26" i="1" s="1"/>
  <c r="L27" i="1" s="1"/>
  <c r="M25" i="1"/>
  <c r="M26" i="1" s="1"/>
  <c r="M27" i="1" s="1"/>
  <c r="N25" i="1"/>
  <c r="N26" i="1" s="1"/>
  <c r="N27" i="1" s="1"/>
  <c r="O25" i="1"/>
  <c r="O26" i="1" s="1"/>
  <c r="O27" i="1" s="1"/>
  <c r="P25" i="1"/>
  <c r="P26" i="1" s="1"/>
  <c r="P27" i="1" s="1"/>
  <c r="F25" i="1"/>
  <c r="F26" i="1" s="1"/>
  <c r="F27" i="1" s="1"/>
  <c r="G20" i="1"/>
  <c r="H20" i="1"/>
  <c r="I20" i="1"/>
  <c r="J20" i="1"/>
  <c r="K20" i="1"/>
  <c r="L20" i="1"/>
  <c r="M20" i="1"/>
  <c r="N20" i="1"/>
  <c r="O20" i="1"/>
  <c r="P20" i="1"/>
  <c r="Q20" i="1"/>
  <c r="R20" i="1"/>
  <c r="G21" i="1"/>
  <c r="G22" i="1" s="1"/>
  <c r="H21" i="1"/>
  <c r="H22" i="1" s="1"/>
  <c r="I21" i="1"/>
  <c r="I22" i="1" s="1"/>
  <c r="J21" i="1"/>
  <c r="J22" i="1" s="1"/>
  <c r="K21" i="1"/>
  <c r="K22" i="1" s="1"/>
  <c r="L21" i="1"/>
  <c r="L22" i="1" s="1"/>
  <c r="M21" i="1"/>
  <c r="M22" i="1" s="1"/>
  <c r="N21" i="1"/>
  <c r="N22" i="1" s="1"/>
  <c r="O21" i="1"/>
  <c r="O22" i="1" s="1"/>
  <c r="P21" i="1"/>
  <c r="P22" i="1" s="1"/>
  <c r="Q21" i="1"/>
  <c r="Q22" i="1" s="1"/>
  <c r="R21" i="1"/>
  <c r="R22" i="1" s="1"/>
  <c r="F20" i="1"/>
  <c r="F21" i="1" s="1"/>
  <c r="F22" i="1" s="1"/>
  <c r="G15" i="1"/>
  <c r="G16" i="1" s="1"/>
  <c r="G17" i="1" s="1"/>
  <c r="H15" i="1"/>
  <c r="I15" i="1"/>
  <c r="I16" i="1" s="1"/>
  <c r="I17" i="1" s="1"/>
  <c r="J15" i="1"/>
  <c r="J16" i="1" s="1"/>
  <c r="J17" i="1" s="1"/>
  <c r="K15" i="1"/>
  <c r="K16" i="1" s="1"/>
  <c r="K17" i="1" s="1"/>
  <c r="L15" i="1"/>
  <c r="L16" i="1" s="1"/>
  <c r="L17" i="1" s="1"/>
  <c r="M15" i="1"/>
  <c r="M16" i="1" s="1"/>
  <c r="M17" i="1" s="1"/>
  <c r="H16" i="1"/>
  <c r="H17" i="1" s="1"/>
  <c r="F15" i="1"/>
  <c r="F16" i="1" s="1"/>
  <c r="F17" i="1" s="1"/>
  <c r="G10" i="1" l="1"/>
  <c r="G11" i="1" s="1"/>
  <c r="G12" i="1" s="1"/>
  <c r="H10" i="1"/>
  <c r="H11" i="1" s="1"/>
  <c r="H12" i="1" s="1"/>
  <c r="I10" i="1"/>
  <c r="I11" i="1" s="1"/>
  <c r="I12" i="1" s="1"/>
  <c r="J10" i="1"/>
  <c r="J11" i="1" s="1"/>
  <c r="J12" i="1" s="1"/>
  <c r="K10" i="1"/>
  <c r="K11" i="1" s="1"/>
  <c r="K12" i="1" s="1"/>
  <c r="L10" i="1"/>
  <c r="L11" i="1" s="1"/>
  <c r="L12" i="1" s="1"/>
  <c r="F10" i="1"/>
  <c r="F11" i="1" s="1"/>
  <c r="F12" i="1" s="1"/>
  <c r="G5" i="1"/>
  <c r="G6" i="1" s="1"/>
  <c r="G7" i="1" s="1"/>
  <c r="H5" i="1"/>
  <c r="H6" i="1" s="1"/>
  <c r="H7" i="1" s="1"/>
  <c r="I5" i="1"/>
  <c r="I6" i="1" s="1"/>
  <c r="I7" i="1" s="1"/>
  <c r="J5" i="1"/>
  <c r="J6" i="1" s="1"/>
  <c r="J7" i="1" s="1"/>
  <c r="K5" i="1"/>
  <c r="K6" i="1" s="1"/>
  <c r="K7" i="1" s="1"/>
  <c r="L5" i="1"/>
  <c r="L6" i="1" s="1"/>
  <c r="L7" i="1" s="1"/>
  <c r="F5" i="1"/>
  <c r="F6" i="1" s="1"/>
  <c r="F7" i="1" s="1"/>
</calcChain>
</file>

<file path=xl/sharedStrings.xml><?xml version="1.0" encoding="utf-8"?>
<sst xmlns="http://schemas.openxmlformats.org/spreadsheetml/2006/main" count="388" uniqueCount="28">
  <si>
    <t>c1</t>
  </si>
  <si>
    <t>cell division</t>
  </si>
  <si>
    <t>interval</t>
  </si>
  <si>
    <t>duration</t>
  </si>
  <si>
    <t>min</t>
  </si>
  <si>
    <t>hours</t>
  </si>
  <si>
    <t>generations</t>
  </si>
  <si>
    <t>c2</t>
  </si>
  <si>
    <t>c3</t>
  </si>
  <si>
    <t>c4</t>
  </si>
  <si>
    <t>c5</t>
  </si>
  <si>
    <t>c6</t>
  </si>
  <si>
    <t>c7</t>
  </si>
  <si>
    <t>P12</t>
  </si>
  <si>
    <t>noDox</t>
  </si>
  <si>
    <t>Fc20</t>
  </si>
  <si>
    <t>x</t>
  </si>
  <si>
    <t>Gal 88-131</t>
  </si>
  <si>
    <t>P13</t>
  </si>
  <si>
    <t>P14</t>
  </si>
  <si>
    <t>P15</t>
  </si>
  <si>
    <t xml:space="preserve">… </t>
  </si>
  <si>
    <t>Cell linage replaced. remove from excel.</t>
  </si>
  <si>
    <t>P16</t>
  </si>
  <si>
    <t>no focus before frame 65</t>
  </si>
  <si>
    <t>P17</t>
  </si>
  <si>
    <t>P18</t>
  </si>
  <si>
    <t>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</si>
</sst>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40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76D6FF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rgb="FF9437FF"/>
      <name val="Calibri"/>
      <family val="2"/>
      <scheme val="minor"/>
    </font>
    <font>
      <i/>
      <sz val="14"/>
      <color theme="2" tint="-0.74999237037263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/>
    <xf numFmtId="0" fontId="6" fillId="0" borderId="0" xfId="0" applyFont="1"/>
    <xf numFmtId="0" fontId="8" fillId="0" borderId="0" xfId="0" applyFont="1" applyAlignment="1">
      <alignment vertical="top" wrapText="1"/>
    </xf>
    <xf numFmtId="164" fontId="5" fillId="0" borderId="0" xfId="0" applyNumberFormat="1" applyFont="1"/>
    <xf numFmtId="164" fontId="6" fillId="0" borderId="0" xfId="0" applyNumberFormat="1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13" fillId="0" borderId="0" xfId="0" applyFont="1" applyAlignment="1">
      <alignment horizontal="left" vertical="top" wrapText="1"/>
    </xf>
    <xf numFmtId="0" fontId="5" fillId="0" borderId="0" xfId="0" applyFont="1" applyFill="1"/>
    <xf numFmtId="0" fontId="6" fillId="0" borderId="0" xfId="0" applyFont="1" applyFill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textRotation="90" wrapText="1"/>
    </xf>
    <xf numFmtId="0" fontId="1" fillId="0" borderId="0" xfId="0" applyFont="1"/>
  </cellXfs>
  <cellStyles count="1">
    <cellStyle name="Normal" xfId="0" builtinId="0"/>
  </cellStyles>
  <dxfs count="21"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7FAA-D3D7-1E4F-AA29-DADB2D60B24B}">
  <dimension ref="A1:AU245"/>
  <sheetViews>
    <sheetView tabSelected="1" topLeftCell="B224" zoomScaleNormal="100" workbookViewId="0">
      <selection activeCell="R241" sqref="R241"/>
    </sheetView>
  </sheetViews>
  <sheetFormatPr baseColWidth="10" defaultColWidth="11.1640625" defaultRowHeight="16" x14ac:dyDescent="0.2"/>
  <cols>
    <col min="3" max="3" width="13.1640625" customWidth="1"/>
    <col min="5" max="5" width="5.6640625" style="20" customWidth="1"/>
    <col min="6" max="10" width="4.6640625" bestFit="1" customWidth="1"/>
    <col min="11" max="11" width="5.1640625" bestFit="1" customWidth="1"/>
    <col min="12" max="12" width="4.6640625" bestFit="1" customWidth="1"/>
    <col min="13" max="16" width="5.83203125" bestFit="1" customWidth="1"/>
    <col min="17" max="20" width="4.6640625" bestFit="1" customWidth="1"/>
    <col min="21" max="21" width="5.83203125" bestFit="1" customWidth="1"/>
    <col min="22" max="23" width="4.6640625" bestFit="1" customWidth="1"/>
  </cols>
  <sheetData>
    <row r="1" spans="1:47" ht="21" x14ac:dyDescent="0.25">
      <c r="A1" s="8">
        <v>20210526</v>
      </c>
      <c r="B1" s="6" t="s">
        <v>14</v>
      </c>
      <c r="C1" s="7" t="s">
        <v>17</v>
      </c>
      <c r="D1" s="9" t="s">
        <v>15</v>
      </c>
    </row>
    <row r="4" spans="1:47" ht="24" x14ac:dyDescent="0.25">
      <c r="A4" s="16" t="s">
        <v>13</v>
      </c>
      <c r="B4" s="11" t="s">
        <v>0</v>
      </c>
      <c r="C4" s="12" t="s">
        <v>1</v>
      </c>
      <c r="D4" s="12"/>
      <c r="E4" s="21">
        <v>43</v>
      </c>
      <c r="F4" s="1">
        <v>54</v>
      </c>
      <c r="G4" s="1">
        <v>67</v>
      </c>
      <c r="H4" s="1">
        <v>80</v>
      </c>
      <c r="I4" s="1">
        <v>98</v>
      </c>
      <c r="J4" s="1">
        <v>109</v>
      </c>
      <c r="K4" s="1">
        <v>158</v>
      </c>
      <c r="L4" s="2">
        <v>202</v>
      </c>
      <c r="M4" s="2">
        <v>203</v>
      </c>
      <c r="N4" s="2">
        <v>204</v>
      </c>
      <c r="O4" s="2" t="s">
        <v>16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2"/>
      <c r="AF4" s="2"/>
      <c r="AG4" s="2"/>
      <c r="AH4" s="2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24" x14ac:dyDescent="0.25">
      <c r="A5" s="16"/>
      <c r="B5" s="11"/>
      <c r="C5" s="13" t="s">
        <v>2</v>
      </c>
      <c r="D5" s="13"/>
      <c r="E5" s="21"/>
      <c r="F5" s="1">
        <f>F4-E4</f>
        <v>11</v>
      </c>
      <c r="G5" s="1">
        <f t="shared" ref="G5:L5" si="0">G4-F4</f>
        <v>13</v>
      </c>
      <c r="H5" s="1">
        <f t="shared" si="0"/>
        <v>13</v>
      </c>
      <c r="I5" s="1">
        <f t="shared" si="0"/>
        <v>18</v>
      </c>
      <c r="J5" s="1">
        <f t="shared" si="0"/>
        <v>11</v>
      </c>
      <c r="K5" s="1">
        <f t="shared" si="0"/>
        <v>49</v>
      </c>
      <c r="L5" s="2">
        <f t="shared" si="0"/>
        <v>44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2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25" x14ac:dyDescent="0.25">
      <c r="A6" s="16"/>
      <c r="B6" s="11"/>
      <c r="C6" s="14" t="s">
        <v>3</v>
      </c>
      <c r="D6" s="3" t="s">
        <v>4</v>
      </c>
      <c r="E6" s="21"/>
      <c r="F6" s="1">
        <f>F5*10</f>
        <v>110</v>
      </c>
      <c r="G6" s="1">
        <f t="shared" ref="G6:L6" si="1">G5*10</f>
        <v>130</v>
      </c>
      <c r="H6" s="1">
        <f t="shared" si="1"/>
        <v>130</v>
      </c>
      <c r="I6" s="1">
        <f t="shared" si="1"/>
        <v>180</v>
      </c>
      <c r="J6" s="1">
        <f t="shared" si="1"/>
        <v>110</v>
      </c>
      <c r="K6" s="1">
        <f t="shared" si="1"/>
        <v>490</v>
      </c>
      <c r="L6" s="2">
        <f t="shared" si="1"/>
        <v>440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2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25" x14ac:dyDescent="0.25">
      <c r="A7" s="16"/>
      <c r="B7" s="11"/>
      <c r="C7" s="14"/>
      <c r="D7" s="3" t="s">
        <v>5</v>
      </c>
      <c r="E7" s="21"/>
      <c r="F7" s="4">
        <f>F6/60</f>
        <v>1.8333333333333333</v>
      </c>
      <c r="G7" s="4">
        <f t="shared" ref="G7:L7" si="2">G6/60</f>
        <v>2.1666666666666665</v>
      </c>
      <c r="H7" s="4">
        <f t="shared" si="2"/>
        <v>2.1666666666666665</v>
      </c>
      <c r="I7" s="4">
        <f t="shared" si="2"/>
        <v>3</v>
      </c>
      <c r="J7" s="4">
        <f t="shared" si="2"/>
        <v>1.8333333333333333</v>
      </c>
      <c r="K7" s="4">
        <f t="shared" si="2"/>
        <v>8.1666666666666661</v>
      </c>
      <c r="L7" s="5">
        <f t="shared" si="2"/>
        <v>7.333333333333333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5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24" x14ac:dyDescent="0.25">
      <c r="A8" s="16"/>
      <c r="B8" s="11"/>
      <c r="C8" s="15" t="s">
        <v>6</v>
      </c>
      <c r="D8" s="15"/>
      <c r="E8" s="21"/>
      <c r="F8" s="1"/>
      <c r="G8" s="1"/>
      <c r="H8" s="1"/>
      <c r="I8" s="10">
        <v>1</v>
      </c>
      <c r="J8" s="10">
        <v>2</v>
      </c>
      <c r="K8" s="10">
        <v>3</v>
      </c>
      <c r="L8" s="10">
        <v>4</v>
      </c>
      <c r="M8" s="1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2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24" x14ac:dyDescent="0.25">
      <c r="A9" s="16"/>
      <c r="B9" s="11" t="s">
        <v>7</v>
      </c>
      <c r="C9" s="12" t="s">
        <v>1</v>
      </c>
      <c r="D9" s="12"/>
      <c r="E9" s="21">
        <v>25</v>
      </c>
      <c r="F9" s="1">
        <v>36</v>
      </c>
      <c r="G9" s="1">
        <v>49</v>
      </c>
      <c r="H9" s="1">
        <v>65</v>
      </c>
      <c r="I9" s="1">
        <v>89</v>
      </c>
      <c r="J9" s="1">
        <v>112</v>
      </c>
      <c r="K9" s="1">
        <v>187</v>
      </c>
      <c r="L9" s="2">
        <v>210</v>
      </c>
      <c r="M9" s="2">
        <v>211</v>
      </c>
      <c r="N9" s="2">
        <v>212</v>
      </c>
      <c r="O9" s="2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24" x14ac:dyDescent="0.25">
      <c r="A10" s="16"/>
      <c r="B10" s="11"/>
      <c r="C10" s="13" t="s">
        <v>2</v>
      </c>
      <c r="D10" s="13"/>
      <c r="E10" s="21"/>
      <c r="F10" s="1">
        <f>F9-E9</f>
        <v>11</v>
      </c>
      <c r="G10" s="1">
        <f t="shared" ref="G10:L10" si="3">G9-F9</f>
        <v>13</v>
      </c>
      <c r="H10" s="1">
        <f t="shared" si="3"/>
        <v>16</v>
      </c>
      <c r="I10" s="1">
        <f t="shared" si="3"/>
        <v>24</v>
      </c>
      <c r="J10" s="1">
        <f t="shared" si="3"/>
        <v>23</v>
      </c>
      <c r="K10" s="1">
        <f t="shared" si="3"/>
        <v>75</v>
      </c>
      <c r="L10" s="2">
        <f t="shared" si="3"/>
        <v>23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25" x14ac:dyDescent="0.25">
      <c r="A11" s="16"/>
      <c r="B11" s="11"/>
      <c r="C11" s="14" t="s">
        <v>3</v>
      </c>
      <c r="D11" s="3" t="s">
        <v>4</v>
      </c>
      <c r="E11" s="21"/>
      <c r="F11" s="1">
        <f>F10*10</f>
        <v>110</v>
      </c>
      <c r="G11" s="1">
        <f t="shared" ref="G11:L11" si="4">G10*10</f>
        <v>130</v>
      </c>
      <c r="H11" s="1">
        <f t="shared" si="4"/>
        <v>160</v>
      </c>
      <c r="I11" s="1">
        <f t="shared" si="4"/>
        <v>240</v>
      </c>
      <c r="J11" s="1">
        <f t="shared" si="4"/>
        <v>230</v>
      </c>
      <c r="K11" s="1">
        <f t="shared" si="4"/>
        <v>750</v>
      </c>
      <c r="L11" s="2">
        <f t="shared" si="4"/>
        <v>230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25" x14ac:dyDescent="0.25">
      <c r="A12" s="16"/>
      <c r="B12" s="11"/>
      <c r="C12" s="14"/>
      <c r="D12" s="3" t="s">
        <v>5</v>
      </c>
      <c r="E12" s="21"/>
      <c r="F12" s="4">
        <f>F11/60</f>
        <v>1.8333333333333333</v>
      </c>
      <c r="G12" s="4">
        <f t="shared" ref="G12:L12" si="5">G11/60</f>
        <v>2.1666666666666665</v>
      </c>
      <c r="H12" s="4">
        <f t="shared" si="5"/>
        <v>2.6666666666666665</v>
      </c>
      <c r="I12" s="4">
        <f t="shared" si="5"/>
        <v>4</v>
      </c>
      <c r="J12" s="4">
        <f t="shared" si="5"/>
        <v>3.8333333333333335</v>
      </c>
      <c r="K12" s="4">
        <f t="shared" si="5"/>
        <v>12.5</v>
      </c>
      <c r="L12" s="5">
        <f t="shared" si="5"/>
        <v>3.8333333333333335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24" x14ac:dyDescent="0.25">
      <c r="A13" s="16"/>
      <c r="B13" s="11"/>
      <c r="C13" s="15" t="s">
        <v>6</v>
      </c>
      <c r="D13" s="15"/>
      <c r="E13" s="21"/>
      <c r="F13" s="1"/>
      <c r="G13" s="1"/>
      <c r="H13" s="1"/>
      <c r="I13" s="10">
        <v>1</v>
      </c>
      <c r="J13" s="10">
        <v>2</v>
      </c>
      <c r="K13" s="10">
        <v>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24" x14ac:dyDescent="0.25">
      <c r="A14" s="16"/>
      <c r="B14" s="11" t="s">
        <v>8</v>
      </c>
      <c r="C14" s="12" t="s">
        <v>1</v>
      </c>
      <c r="D14" s="12"/>
      <c r="E14" s="21">
        <v>30</v>
      </c>
      <c r="F14" s="1">
        <v>41</v>
      </c>
      <c r="G14" s="1">
        <v>54</v>
      </c>
      <c r="H14" s="1">
        <v>68</v>
      </c>
      <c r="I14" s="1">
        <v>83</v>
      </c>
      <c r="J14" s="1">
        <v>98</v>
      </c>
      <c r="K14" s="1">
        <v>107</v>
      </c>
      <c r="L14" s="1">
        <v>148</v>
      </c>
      <c r="M14" s="2">
        <v>277</v>
      </c>
      <c r="N14" s="2">
        <v>278</v>
      </c>
      <c r="O14" s="2">
        <v>279</v>
      </c>
      <c r="P14" s="2" t="s">
        <v>16</v>
      </c>
      <c r="Q14" s="1"/>
      <c r="R14" s="1"/>
      <c r="S14" s="1"/>
      <c r="T14" s="1"/>
      <c r="U14" s="1"/>
      <c r="V14" s="1"/>
      <c r="W14" s="2"/>
      <c r="X14" s="2"/>
      <c r="Y14" s="2"/>
      <c r="Z14" s="2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24" x14ac:dyDescent="0.25">
      <c r="A15" s="16"/>
      <c r="B15" s="11"/>
      <c r="C15" s="13" t="s">
        <v>2</v>
      </c>
      <c r="D15" s="13"/>
      <c r="E15" s="21"/>
      <c r="F15" s="1">
        <f>F14-E14</f>
        <v>11</v>
      </c>
      <c r="G15" s="1">
        <f t="shared" ref="G15:M15" si="6">G14-F14</f>
        <v>13</v>
      </c>
      <c r="H15" s="1">
        <f t="shared" si="6"/>
        <v>14</v>
      </c>
      <c r="I15" s="1">
        <f t="shared" si="6"/>
        <v>15</v>
      </c>
      <c r="J15" s="1">
        <f t="shared" si="6"/>
        <v>15</v>
      </c>
      <c r="K15" s="1">
        <f t="shared" si="6"/>
        <v>9</v>
      </c>
      <c r="L15" s="1">
        <f t="shared" si="6"/>
        <v>41</v>
      </c>
      <c r="M15" s="2">
        <f t="shared" si="6"/>
        <v>129</v>
      </c>
      <c r="N15" s="1"/>
      <c r="O15" s="1"/>
      <c r="P15" s="1"/>
      <c r="Q15" s="1"/>
      <c r="R15" s="1"/>
      <c r="S15" s="1"/>
      <c r="T15" s="1"/>
      <c r="U15" s="1"/>
      <c r="V15" s="1"/>
      <c r="W15" s="2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25" x14ac:dyDescent="0.25">
      <c r="A16" s="16"/>
      <c r="B16" s="11"/>
      <c r="C16" s="14" t="s">
        <v>3</v>
      </c>
      <c r="D16" s="3" t="s">
        <v>4</v>
      </c>
      <c r="E16" s="21"/>
      <c r="F16" s="1">
        <f>F15*10</f>
        <v>110</v>
      </c>
      <c r="G16" s="1">
        <f t="shared" ref="G16:M16" si="7">G15*10</f>
        <v>130</v>
      </c>
      <c r="H16" s="1">
        <f t="shared" si="7"/>
        <v>140</v>
      </c>
      <c r="I16" s="1">
        <f t="shared" si="7"/>
        <v>150</v>
      </c>
      <c r="J16" s="1">
        <f t="shared" si="7"/>
        <v>150</v>
      </c>
      <c r="K16" s="1">
        <f t="shared" si="7"/>
        <v>90</v>
      </c>
      <c r="L16" s="1">
        <f t="shared" si="7"/>
        <v>410</v>
      </c>
      <c r="M16" s="2">
        <f t="shared" si="7"/>
        <v>1290</v>
      </c>
      <c r="N16" s="1"/>
      <c r="O16" s="1"/>
      <c r="P16" s="1"/>
      <c r="Q16" s="1"/>
      <c r="R16" s="1"/>
      <c r="S16" s="1"/>
      <c r="T16" s="1"/>
      <c r="U16" s="1"/>
      <c r="V16" s="1"/>
      <c r="W16" s="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25" x14ac:dyDescent="0.25">
      <c r="A17" s="16"/>
      <c r="B17" s="11"/>
      <c r="C17" s="14"/>
      <c r="D17" s="3" t="s">
        <v>5</v>
      </c>
      <c r="E17" s="21"/>
      <c r="F17" s="4">
        <f>F16/60</f>
        <v>1.8333333333333333</v>
      </c>
      <c r="G17" s="4">
        <f t="shared" ref="G17:M17" si="8">G16/60</f>
        <v>2.1666666666666665</v>
      </c>
      <c r="H17" s="4">
        <f t="shared" si="8"/>
        <v>2.3333333333333335</v>
      </c>
      <c r="I17" s="4">
        <f t="shared" si="8"/>
        <v>2.5</v>
      </c>
      <c r="J17" s="4">
        <f t="shared" si="8"/>
        <v>2.5</v>
      </c>
      <c r="K17" s="4">
        <f t="shared" si="8"/>
        <v>1.5</v>
      </c>
      <c r="L17" s="4">
        <f t="shared" si="8"/>
        <v>6.833333333333333</v>
      </c>
      <c r="M17" s="5">
        <f t="shared" si="8"/>
        <v>21.5</v>
      </c>
      <c r="N17" s="4"/>
      <c r="O17" s="4"/>
      <c r="P17" s="4"/>
      <c r="Q17" s="4"/>
      <c r="R17" s="4"/>
      <c r="S17" s="4"/>
      <c r="T17" s="4"/>
      <c r="U17" s="4"/>
      <c r="V17" s="4"/>
      <c r="W17" s="5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24" x14ac:dyDescent="0.25">
      <c r="A18" s="16"/>
      <c r="B18" s="11"/>
      <c r="C18" s="15" t="s">
        <v>6</v>
      </c>
      <c r="D18" s="15"/>
      <c r="E18" s="21"/>
      <c r="F18" s="1"/>
      <c r="G18" s="1"/>
      <c r="H18" s="1"/>
      <c r="I18" s="1"/>
      <c r="J18" s="10">
        <v>1</v>
      </c>
      <c r="K18" s="10">
        <v>2</v>
      </c>
      <c r="L18" s="10">
        <v>3</v>
      </c>
      <c r="M18" s="10">
        <v>4</v>
      </c>
      <c r="N18" s="1"/>
      <c r="O18" s="1"/>
      <c r="P18" s="1"/>
      <c r="Q18" s="1"/>
      <c r="R18" s="1"/>
      <c r="S18" s="1"/>
      <c r="T18" s="1"/>
      <c r="U18" s="1"/>
      <c r="V18" s="1"/>
      <c r="W18" s="2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24" x14ac:dyDescent="0.25">
      <c r="A19" s="16"/>
      <c r="B19" s="11" t="s">
        <v>9</v>
      </c>
      <c r="C19" s="12" t="s">
        <v>1</v>
      </c>
      <c r="D19" s="12"/>
      <c r="E19" s="21">
        <v>3</v>
      </c>
      <c r="F19" s="1">
        <v>14</v>
      </c>
      <c r="G19" s="1">
        <v>21</v>
      </c>
      <c r="H19" s="1">
        <v>30</v>
      </c>
      <c r="I19" s="1">
        <v>39</v>
      </c>
      <c r="J19" s="1">
        <v>51</v>
      </c>
      <c r="K19" s="1">
        <v>64</v>
      </c>
      <c r="L19" s="1">
        <v>76</v>
      </c>
      <c r="M19" s="1">
        <v>87</v>
      </c>
      <c r="N19" s="1">
        <v>98</v>
      </c>
      <c r="O19" s="1">
        <v>109</v>
      </c>
      <c r="P19" s="1">
        <v>123</v>
      </c>
      <c r="Q19" s="1">
        <v>166</v>
      </c>
      <c r="R19" s="2">
        <v>198</v>
      </c>
      <c r="S19" s="2">
        <v>199</v>
      </c>
      <c r="T19" s="2">
        <v>200</v>
      </c>
      <c r="U19" s="2" t="s">
        <v>16</v>
      </c>
      <c r="V19" s="2"/>
      <c r="W19" s="2"/>
      <c r="X19" s="2"/>
      <c r="Y19" s="2"/>
      <c r="Z19" s="2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24" x14ac:dyDescent="0.25">
      <c r="A20" s="16"/>
      <c r="B20" s="11"/>
      <c r="C20" s="13" t="s">
        <v>2</v>
      </c>
      <c r="D20" s="13"/>
      <c r="E20" s="21"/>
      <c r="F20" s="1">
        <f>F19-E19</f>
        <v>11</v>
      </c>
      <c r="G20" s="1">
        <f t="shared" ref="G20:R20" si="9">G19-F19</f>
        <v>7</v>
      </c>
      <c r="H20" s="1">
        <f t="shared" si="9"/>
        <v>9</v>
      </c>
      <c r="I20" s="1">
        <f t="shared" si="9"/>
        <v>9</v>
      </c>
      <c r="J20" s="1">
        <f t="shared" si="9"/>
        <v>12</v>
      </c>
      <c r="K20" s="1">
        <f t="shared" si="9"/>
        <v>13</v>
      </c>
      <c r="L20" s="1">
        <f t="shared" si="9"/>
        <v>12</v>
      </c>
      <c r="M20" s="1">
        <f t="shared" si="9"/>
        <v>11</v>
      </c>
      <c r="N20" s="1">
        <f t="shared" si="9"/>
        <v>11</v>
      </c>
      <c r="O20" s="1">
        <f t="shared" si="9"/>
        <v>11</v>
      </c>
      <c r="P20" s="1">
        <f t="shared" si="9"/>
        <v>14</v>
      </c>
      <c r="Q20" s="1">
        <f t="shared" si="9"/>
        <v>43</v>
      </c>
      <c r="R20" s="2">
        <f t="shared" si="9"/>
        <v>32</v>
      </c>
      <c r="S20" s="1"/>
      <c r="T20" s="1"/>
      <c r="U20" s="2"/>
      <c r="V20" s="1"/>
      <c r="W20" s="2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25" x14ac:dyDescent="0.25">
      <c r="A21" s="16"/>
      <c r="B21" s="11"/>
      <c r="C21" s="14" t="s">
        <v>3</v>
      </c>
      <c r="D21" s="3" t="s">
        <v>4</v>
      </c>
      <c r="E21" s="21"/>
      <c r="F21" s="1">
        <f>F20*10</f>
        <v>110</v>
      </c>
      <c r="G21" s="1">
        <f t="shared" ref="G21:R21" si="10">G20*10</f>
        <v>70</v>
      </c>
      <c r="H21" s="1">
        <f t="shared" si="10"/>
        <v>90</v>
      </c>
      <c r="I21" s="1">
        <f t="shared" si="10"/>
        <v>90</v>
      </c>
      <c r="J21" s="1">
        <f t="shared" si="10"/>
        <v>120</v>
      </c>
      <c r="K21" s="1">
        <f t="shared" si="10"/>
        <v>130</v>
      </c>
      <c r="L21" s="1">
        <f t="shared" si="10"/>
        <v>120</v>
      </c>
      <c r="M21" s="1">
        <f t="shared" si="10"/>
        <v>110</v>
      </c>
      <c r="N21" s="1">
        <f t="shared" si="10"/>
        <v>110</v>
      </c>
      <c r="O21" s="1">
        <f t="shared" si="10"/>
        <v>110</v>
      </c>
      <c r="P21" s="1">
        <f t="shared" si="10"/>
        <v>140</v>
      </c>
      <c r="Q21" s="1">
        <f t="shared" si="10"/>
        <v>430</v>
      </c>
      <c r="R21" s="2">
        <f t="shared" si="10"/>
        <v>320</v>
      </c>
      <c r="S21" s="1"/>
      <c r="T21" s="1"/>
      <c r="U21" s="2"/>
      <c r="V21" s="1"/>
      <c r="W21" s="2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25" x14ac:dyDescent="0.25">
      <c r="A22" s="16"/>
      <c r="B22" s="11"/>
      <c r="C22" s="14"/>
      <c r="D22" s="3" t="s">
        <v>5</v>
      </c>
      <c r="E22" s="21"/>
      <c r="F22" s="4">
        <f>F21/60</f>
        <v>1.8333333333333333</v>
      </c>
      <c r="G22" s="4">
        <f t="shared" ref="G22:R22" si="11">G21/60</f>
        <v>1.1666666666666667</v>
      </c>
      <c r="H22" s="4">
        <f t="shared" si="11"/>
        <v>1.5</v>
      </c>
      <c r="I22" s="4">
        <f t="shared" si="11"/>
        <v>1.5</v>
      </c>
      <c r="J22" s="4">
        <f t="shared" si="11"/>
        <v>2</v>
      </c>
      <c r="K22" s="4">
        <f t="shared" si="11"/>
        <v>2.1666666666666665</v>
      </c>
      <c r="L22" s="4">
        <f t="shared" si="11"/>
        <v>2</v>
      </c>
      <c r="M22" s="4">
        <f t="shared" si="11"/>
        <v>1.8333333333333333</v>
      </c>
      <c r="N22" s="4">
        <f t="shared" si="11"/>
        <v>1.8333333333333333</v>
      </c>
      <c r="O22" s="4">
        <f t="shared" si="11"/>
        <v>1.8333333333333333</v>
      </c>
      <c r="P22" s="4">
        <f t="shared" si="11"/>
        <v>2.3333333333333335</v>
      </c>
      <c r="Q22" s="4">
        <f t="shared" si="11"/>
        <v>7.166666666666667</v>
      </c>
      <c r="R22" s="5">
        <f t="shared" si="11"/>
        <v>5.333333333333333</v>
      </c>
      <c r="S22" s="4"/>
      <c r="T22" s="4"/>
      <c r="U22" s="5"/>
      <c r="V22" s="4"/>
      <c r="W22" s="5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24" x14ac:dyDescent="0.25">
      <c r="A23" s="16"/>
      <c r="B23" s="11"/>
      <c r="C23" s="15" t="s">
        <v>6</v>
      </c>
      <c r="D23" s="15"/>
      <c r="E23" s="21"/>
      <c r="F23" s="1"/>
      <c r="G23" s="1"/>
      <c r="H23" s="1"/>
      <c r="I23" s="1"/>
      <c r="J23" s="1"/>
      <c r="K23" s="1"/>
      <c r="L23" s="1"/>
      <c r="M23" s="1"/>
      <c r="N23" s="10">
        <v>1</v>
      </c>
      <c r="O23" s="10">
        <v>2</v>
      </c>
      <c r="P23" s="10">
        <v>3</v>
      </c>
      <c r="Q23" s="10">
        <v>4</v>
      </c>
      <c r="R23" s="10">
        <v>5</v>
      </c>
      <c r="S23" s="1"/>
      <c r="T23" s="1"/>
      <c r="U23" s="2"/>
      <c r="V23" s="1"/>
      <c r="W23" s="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24" x14ac:dyDescent="0.25">
      <c r="A24" s="16"/>
      <c r="B24" s="11" t="s">
        <v>10</v>
      </c>
      <c r="C24" s="12" t="s">
        <v>1</v>
      </c>
      <c r="D24" s="12"/>
      <c r="E24" s="21">
        <v>2</v>
      </c>
      <c r="F24" s="1">
        <v>12</v>
      </c>
      <c r="G24" s="1">
        <v>22</v>
      </c>
      <c r="H24" s="1">
        <v>33</v>
      </c>
      <c r="I24" s="1">
        <v>43</v>
      </c>
      <c r="J24" s="1">
        <v>53</v>
      </c>
      <c r="K24" s="1">
        <v>68</v>
      </c>
      <c r="L24" s="1">
        <v>75</v>
      </c>
      <c r="M24" s="1">
        <v>88</v>
      </c>
      <c r="N24" s="1">
        <v>102</v>
      </c>
      <c r="O24" s="1">
        <v>118</v>
      </c>
      <c r="P24" s="2">
        <v>230</v>
      </c>
      <c r="Q24" s="2">
        <v>231</v>
      </c>
      <c r="R24" s="2">
        <v>232</v>
      </c>
      <c r="S24" s="2" t="s">
        <v>16</v>
      </c>
      <c r="T24" s="1"/>
      <c r="U24" s="1"/>
      <c r="V24" s="1"/>
      <c r="W24" s="2"/>
      <c r="X24" s="2"/>
      <c r="Y24" s="2"/>
      <c r="Z24" s="2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24" x14ac:dyDescent="0.25">
      <c r="A25" s="16"/>
      <c r="B25" s="11"/>
      <c r="C25" s="13" t="s">
        <v>2</v>
      </c>
      <c r="D25" s="13"/>
      <c r="E25" s="21"/>
      <c r="F25" s="1">
        <f>F24-E24</f>
        <v>10</v>
      </c>
      <c r="G25" s="1">
        <f t="shared" ref="G25:P25" si="12">G24-F24</f>
        <v>10</v>
      </c>
      <c r="H25" s="1">
        <f t="shared" si="12"/>
        <v>11</v>
      </c>
      <c r="I25" s="1">
        <f t="shared" si="12"/>
        <v>10</v>
      </c>
      <c r="J25" s="1">
        <f t="shared" si="12"/>
        <v>10</v>
      </c>
      <c r="K25" s="1">
        <f t="shared" si="12"/>
        <v>15</v>
      </c>
      <c r="L25" s="1">
        <f t="shared" si="12"/>
        <v>7</v>
      </c>
      <c r="M25" s="1">
        <f t="shared" si="12"/>
        <v>13</v>
      </c>
      <c r="N25" s="1">
        <f t="shared" si="12"/>
        <v>14</v>
      </c>
      <c r="O25" s="1">
        <f t="shared" si="12"/>
        <v>16</v>
      </c>
      <c r="P25" s="2">
        <f t="shared" si="12"/>
        <v>112</v>
      </c>
      <c r="Q25" s="1"/>
      <c r="R25" s="1"/>
      <c r="S25" s="1"/>
      <c r="T25" s="1"/>
      <c r="U25" s="1"/>
      <c r="V25" s="1"/>
      <c r="W25" s="2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25" x14ac:dyDescent="0.25">
      <c r="A26" s="16"/>
      <c r="B26" s="11"/>
      <c r="C26" s="14" t="s">
        <v>3</v>
      </c>
      <c r="D26" s="3" t="s">
        <v>4</v>
      </c>
      <c r="E26" s="21"/>
      <c r="F26" s="1">
        <f>F25*10</f>
        <v>100</v>
      </c>
      <c r="G26" s="1">
        <f t="shared" ref="G26:P26" si="13">G25*10</f>
        <v>100</v>
      </c>
      <c r="H26" s="1">
        <f t="shared" si="13"/>
        <v>110</v>
      </c>
      <c r="I26" s="1">
        <f t="shared" si="13"/>
        <v>100</v>
      </c>
      <c r="J26" s="1">
        <f t="shared" si="13"/>
        <v>100</v>
      </c>
      <c r="K26" s="1">
        <f t="shared" si="13"/>
        <v>150</v>
      </c>
      <c r="L26" s="1">
        <f t="shared" si="13"/>
        <v>70</v>
      </c>
      <c r="M26" s="1">
        <f t="shared" si="13"/>
        <v>130</v>
      </c>
      <c r="N26" s="1">
        <f t="shared" si="13"/>
        <v>140</v>
      </c>
      <c r="O26" s="1">
        <f t="shared" si="13"/>
        <v>160</v>
      </c>
      <c r="P26" s="2">
        <f t="shared" si="13"/>
        <v>1120</v>
      </c>
      <c r="Q26" s="1"/>
      <c r="R26" s="1"/>
      <c r="S26" s="1"/>
      <c r="T26" s="1"/>
      <c r="U26" s="1"/>
      <c r="V26" s="1"/>
      <c r="W26" s="2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25" x14ac:dyDescent="0.25">
      <c r="A27" s="16"/>
      <c r="B27" s="11"/>
      <c r="C27" s="14"/>
      <c r="D27" s="3" t="s">
        <v>5</v>
      </c>
      <c r="E27" s="21"/>
      <c r="F27" s="4">
        <f>F26/60</f>
        <v>1.6666666666666667</v>
      </c>
      <c r="G27" s="4">
        <f t="shared" ref="G27:P27" si="14">G26/60</f>
        <v>1.6666666666666667</v>
      </c>
      <c r="H27" s="4">
        <f t="shared" si="14"/>
        <v>1.8333333333333333</v>
      </c>
      <c r="I27" s="4">
        <f t="shared" si="14"/>
        <v>1.6666666666666667</v>
      </c>
      <c r="J27" s="4">
        <f t="shared" si="14"/>
        <v>1.6666666666666667</v>
      </c>
      <c r="K27" s="4">
        <f t="shared" si="14"/>
        <v>2.5</v>
      </c>
      <c r="L27" s="4">
        <f t="shared" si="14"/>
        <v>1.1666666666666667</v>
      </c>
      <c r="M27" s="4">
        <f t="shared" si="14"/>
        <v>2.1666666666666665</v>
      </c>
      <c r="N27" s="4">
        <f t="shared" si="14"/>
        <v>2.3333333333333335</v>
      </c>
      <c r="O27" s="4">
        <f t="shared" si="14"/>
        <v>2.6666666666666665</v>
      </c>
      <c r="P27" s="5">
        <f t="shared" si="14"/>
        <v>18.666666666666668</v>
      </c>
      <c r="Q27" s="4"/>
      <c r="R27" s="4"/>
      <c r="S27" s="4"/>
      <c r="T27" s="4"/>
      <c r="U27" s="4"/>
      <c r="V27" s="4"/>
      <c r="W27" s="5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24" x14ac:dyDescent="0.25">
      <c r="A28" s="16"/>
      <c r="B28" s="11"/>
      <c r="C28" s="15" t="s">
        <v>6</v>
      </c>
      <c r="D28" s="15"/>
      <c r="E28" s="21"/>
      <c r="F28" s="1"/>
      <c r="G28" s="1"/>
      <c r="H28" s="1"/>
      <c r="I28" s="1"/>
      <c r="J28" s="1"/>
      <c r="K28" s="1"/>
      <c r="L28" s="1"/>
      <c r="M28" s="10">
        <v>1</v>
      </c>
      <c r="N28" s="10">
        <v>2</v>
      </c>
      <c r="O28" s="10">
        <v>3</v>
      </c>
      <c r="P28" s="10">
        <v>4</v>
      </c>
      <c r="Q28" s="1"/>
      <c r="R28" s="1"/>
      <c r="S28" s="1"/>
      <c r="T28" s="1"/>
      <c r="U28" s="1"/>
      <c r="V28" s="1"/>
      <c r="W28" s="2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24" x14ac:dyDescent="0.25">
      <c r="A29" s="16"/>
      <c r="B29" s="11" t="s">
        <v>11</v>
      </c>
      <c r="C29" s="12" t="s">
        <v>1</v>
      </c>
      <c r="D29" s="12"/>
      <c r="E29" s="21">
        <v>12</v>
      </c>
      <c r="F29" s="1">
        <v>26</v>
      </c>
      <c r="G29" s="1">
        <v>38</v>
      </c>
      <c r="H29" s="1">
        <v>49</v>
      </c>
      <c r="I29" s="1">
        <v>61</v>
      </c>
      <c r="J29" s="1">
        <v>74</v>
      </c>
      <c r="K29" s="1">
        <v>85</v>
      </c>
      <c r="L29" s="1">
        <v>99</v>
      </c>
      <c r="M29" s="1">
        <v>114</v>
      </c>
      <c r="N29" s="2">
        <v>291</v>
      </c>
      <c r="O29" s="2">
        <v>292</v>
      </c>
      <c r="P29" s="2">
        <v>293</v>
      </c>
      <c r="Q29" s="2" t="s">
        <v>16</v>
      </c>
      <c r="R29" s="2"/>
      <c r="S29" s="1"/>
      <c r="T29" s="1"/>
      <c r="U29" s="1"/>
      <c r="V29" s="1"/>
      <c r="W29" s="2"/>
      <c r="X29" s="2"/>
      <c r="Y29" s="2"/>
      <c r="Z29" s="2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24" x14ac:dyDescent="0.25">
      <c r="A30" s="16"/>
      <c r="B30" s="11"/>
      <c r="C30" s="13" t="s">
        <v>2</v>
      </c>
      <c r="D30" s="13"/>
      <c r="E30" s="21"/>
      <c r="F30" s="1">
        <f>F29-E29</f>
        <v>14</v>
      </c>
      <c r="G30" s="1">
        <f t="shared" ref="G30:N30" si="15">G29-F29</f>
        <v>12</v>
      </c>
      <c r="H30" s="1">
        <f t="shared" si="15"/>
        <v>11</v>
      </c>
      <c r="I30" s="1">
        <f t="shared" si="15"/>
        <v>12</v>
      </c>
      <c r="J30" s="1">
        <f t="shared" si="15"/>
        <v>13</v>
      </c>
      <c r="K30" s="1">
        <f t="shared" si="15"/>
        <v>11</v>
      </c>
      <c r="L30" s="1">
        <f t="shared" si="15"/>
        <v>14</v>
      </c>
      <c r="M30" s="1">
        <f t="shared" si="15"/>
        <v>15</v>
      </c>
      <c r="N30" s="2">
        <f t="shared" si="15"/>
        <v>177</v>
      </c>
      <c r="O30" s="1"/>
      <c r="P30" s="1"/>
      <c r="Q30" s="1"/>
      <c r="R30" s="1"/>
      <c r="S30" s="1"/>
      <c r="T30" s="1"/>
      <c r="U30" s="1"/>
      <c r="V30" s="1"/>
      <c r="W30" s="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25" x14ac:dyDescent="0.25">
      <c r="A31" s="16"/>
      <c r="B31" s="11"/>
      <c r="C31" s="14" t="s">
        <v>3</v>
      </c>
      <c r="D31" s="3" t="s">
        <v>4</v>
      </c>
      <c r="E31" s="21"/>
      <c r="F31" s="1">
        <f>F30*10</f>
        <v>140</v>
      </c>
      <c r="G31" s="1">
        <f t="shared" ref="G31:N31" si="16">G30*10</f>
        <v>120</v>
      </c>
      <c r="H31" s="1">
        <f t="shared" si="16"/>
        <v>110</v>
      </c>
      <c r="I31" s="1">
        <f t="shared" si="16"/>
        <v>120</v>
      </c>
      <c r="J31" s="1">
        <f t="shared" si="16"/>
        <v>130</v>
      </c>
      <c r="K31" s="1">
        <f t="shared" si="16"/>
        <v>110</v>
      </c>
      <c r="L31" s="1">
        <f t="shared" si="16"/>
        <v>140</v>
      </c>
      <c r="M31" s="1">
        <f t="shared" si="16"/>
        <v>150</v>
      </c>
      <c r="N31" s="2">
        <f t="shared" si="16"/>
        <v>1770</v>
      </c>
      <c r="O31" s="1"/>
      <c r="P31" s="1"/>
      <c r="Q31" s="1"/>
      <c r="R31" s="1"/>
      <c r="S31" s="1"/>
      <c r="T31" s="1"/>
      <c r="U31" s="1"/>
      <c r="V31" s="1"/>
      <c r="W31" s="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25" x14ac:dyDescent="0.25">
      <c r="A32" s="16"/>
      <c r="B32" s="11"/>
      <c r="C32" s="14"/>
      <c r="D32" s="3" t="s">
        <v>5</v>
      </c>
      <c r="E32" s="21"/>
      <c r="F32" s="4">
        <f>F31/60</f>
        <v>2.3333333333333335</v>
      </c>
      <c r="G32" s="4">
        <f t="shared" ref="G32:N32" si="17">G31/60</f>
        <v>2</v>
      </c>
      <c r="H32" s="4">
        <f t="shared" si="17"/>
        <v>1.8333333333333333</v>
      </c>
      <c r="I32" s="4">
        <f t="shared" si="17"/>
        <v>2</v>
      </c>
      <c r="J32" s="4">
        <f t="shared" si="17"/>
        <v>2.1666666666666665</v>
      </c>
      <c r="K32" s="4">
        <f t="shared" si="17"/>
        <v>1.8333333333333333</v>
      </c>
      <c r="L32" s="4">
        <f t="shared" si="17"/>
        <v>2.3333333333333335</v>
      </c>
      <c r="M32" s="4">
        <f t="shared" si="17"/>
        <v>2.5</v>
      </c>
      <c r="N32" s="5">
        <f t="shared" si="17"/>
        <v>29.5</v>
      </c>
      <c r="O32" s="4"/>
      <c r="P32" s="4"/>
      <c r="Q32" s="4"/>
      <c r="R32" s="4"/>
      <c r="S32" s="4"/>
      <c r="T32" s="4"/>
      <c r="U32" s="4"/>
      <c r="V32" s="4"/>
      <c r="W32" s="5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24" x14ac:dyDescent="0.25">
      <c r="A33" s="16"/>
      <c r="B33" s="11"/>
      <c r="C33" s="15" t="s">
        <v>6</v>
      </c>
      <c r="D33" s="15"/>
      <c r="E33" s="21"/>
      <c r="F33" s="1"/>
      <c r="G33" s="1"/>
      <c r="H33" s="1"/>
      <c r="I33" s="1"/>
      <c r="J33" s="1"/>
      <c r="K33" s="1"/>
      <c r="L33" s="10">
        <v>1</v>
      </c>
      <c r="M33" s="10">
        <v>2</v>
      </c>
      <c r="N33" s="10">
        <v>3</v>
      </c>
      <c r="O33" s="1"/>
      <c r="P33" s="1"/>
      <c r="Q33" s="1"/>
      <c r="R33" s="1"/>
      <c r="S33" s="1"/>
      <c r="T33" s="1"/>
      <c r="U33" s="1"/>
      <c r="V33" s="1"/>
      <c r="W33" s="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24" x14ac:dyDescent="0.25">
      <c r="A34" s="16"/>
      <c r="B34" s="11" t="s">
        <v>12</v>
      </c>
      <c r="C34" s="12" t="s">
        <v>1</v>
      </c>
      <c r="D34" s="12"/>
      <c r="E34" s="21">
        <v>3</v>
      </c>
      <c r="F34" s="1">
        <v>16</v>
      </c>
      <c r="G34" s="1">
        <v>24</v>
      </c>
      <c r="H34" s="1">
        <v>34</v>
      </c>
      <c r="I34" s="1">
        <v>45</v>
      </c>
      <c r="J34" s="1">
        <v>57</v>
      </c>
      <c r="K34" s="1">
        <v>73</v>
      </c>
      <c r="L34" s="1">
        <v>81</v>
      </c>
      <c r="M34" s="1">
        <v>98</v>
      </c>
      <c r="N34" s="1">
        <v>107</v>
      </c>
      <c r="O34" s="2">
        <v>373</v>
      </c>
      <c r="P34" s="2">
        <v>374</v>
      </c>
      <c r="Q34" s="2">
        <v>375</v>
      </c>
      <c r="R34" s="2" t="s">
        <v>16</v>
      </c>
      <c r="S34" s="1"/>
      <c r="T34" s="1"/>
      <c r="U34" s="2"/>
      <c r="V34" s="2"/>
      <c r="W34" s="2"/>
      <c r="X34" s="2"/>
      <c r="Y34" s="2"/>
      <c r="Z34" s="2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24" x14ac:dyDescent="0.25">
      <c r="A35" s="16"/>
      <c r="B35" s="11"/>
      <c r="C35" s="13" t="s">
        <v>2</v>
      </c>
      <c r="D35" s="13"/>
      <c r="E35" s="21"/>
      <c r="F35" s="1">
        <f>F34-E34</f>
        <v>13</v>
      </c>
      <c r="G35" s="1">
        <f t="shared" ref="G35:O35" si="18">G34-F34</f>
        <v>8</v>
      </c>
      <c r="H35" s="1">
        <f t="shared" si="18"/>
        <v>10</v>
      </c>
      <c r="I35" s="1">
        <f t="shared" si="18"/>
        <v>11</v>
      </c>
      <c r="J35" s="1">
        <f t="shared" si="18"/>
        <v>12</v>
      </c>
      <c r="K35" s="1">
        <f t="shared" si="18"/>
        <v>16</v>
      </c>
      <c r="L35" s="1">
        <f t="shared" si="18"/>
        <v>8</v>
      </c>
      <c r="M35" s="1">
        <f t="shared" si="18"/>
        <v>17</v>
      </c>
      <c r="N35" s="1">
        <f t="shared" si="18"/>
        <v>9</v>
      </c>
      <c r="O35" s="2">
        <f t="shared" si="18"/>
        <v>266</v>
      </c>
      <c r="P35" s="1"/>
      <c r="Q35" s="1"/>
      <c r="R35" s="1"/>
      <c r="S35" s="1"/>
      <c r="T35" s="1"/>
      <c r="U35" s="2"/>
      <c r="V35" s="1"/>
      <c r="W35" s="2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25" x14ac:dyDescent="0.25">
      <c r="A36" s="16"/>
      <c r="B36" s="11"/>
      <c r="C36" s="14" t="s">
        <v>3</v>
      </c>
      <c r="D36" s="3" t="s">
        <v>4</v>
      </c>
      <c r="E36" s="21"/>
      <c r="F36" s="1">
        <f>F35*10</f>
        <v>130</v>
      </c>
      <c r="G36" s="1">
        <f t="shared" ref="G36:O36" si="19">G35*10</f>
        <v>80</v>
      </c>
      <c r="H36" s="1">
        <f t="shared" si="19"/>
        <v>100</v>
      </c>
      <c r="I36" s="1">
        <f t="shared" si="19"/>
        <v>110</v>
      </c>
      <c r="J36" s="1">
        <f t="shared" si="19"/>
        <v>120</v>
      </c>
      <c r="K36" s="1">
        <f t="shared" si="19"/>
        <v>160</v>
      </c>
      <c r="L36" s="1">
        <f t="shared" si="19"/>
        <v>80</v>
      </c>
      <c r="M36" s="1">
        <f t="shared" si="19"/>
        <v>170</v>
      </c>
      <c r="N36" s="1">
        <f t="shared" si="19"/>
        <v>90</v>
      </c>
      <c r="O36" s="2">
        <f t="shared" si="19"/>
        <v>2660</v>
      </c>
      <c r="P36" s="1"/>
      <c r="Q36" s="1"/>
      <c r="R36" s="1"/>
      <c r="S36" s="1"/>
      <c r="T36" s="1"/>
      <c r="U36" s="2"/>
      <c r="V36" s="1"/>
      <c r="W36" s="2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25" x14ac:dyDescent="0.25">
      <c r="A37" s="16"/>
      <c r="B37" s="11"/>
      <c r="C37" s="14"/>
      <c r="D37" s="3" t="s">
        <v>5</v>
      </c>
      <c r="E37" s="21"/>
      <c r="F37" s="4">
        <f>F36/60</f>
        <v>2.1666666666666665</v>
      </c>
      <c r="G37" s="4">
        <f t="shared" ref="G37:O37" si="20">G36/60</f>
        <v>1.3333333333333333</v>
      </c>
      <c r="H37" s="4">
        <f t="shared" si="20"/>
        <v>1.6666666666666667</v>
      </c>
      <c r="I37" s="4">
        <f t="shared" si="20"/>
        <v>1.8333333333333333</v>
      </c>
      <c r="J37" s="4">
        <f t="shared" si="20"/>
        <v>2</v>
      </c>
      <c r="K37" s="4">
        <f t="shared" si="20"/>
        <v>2.6666666666666665</v>
      </c>
      <c r="L37" s="4">
        <f t="shared" si="20"/>
        <v>1.3333333333333333</v>
      </c>
      <c r="M37" s="4">
        <f t="shared" si="20"/>
        <v>2.8333333333333335</v>
      </c>
      <c r="N37" s="4">
        <f t="shared" si="20"/>
        <v>1.5</v>
      </c>
      <c r="O37" s="5">
        <f t="shared" si="20"/>
        <v>44.333333333333336</v>
      </c>
      <c r="P37" s="4"/>
      <c r="Q37" s="4"/>
      <c r="R37" s="4"/>
      <c r="S37" s="4"/>
      <c r="T37" s="4"/>
      <c r="U37" s="5"/>
      <c r="V37" s="4"/>
      <c r="W37" s="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24" x14ac:dyDescent="0.25">
      <c r="A38" s="16"/>
      <c r="B38" s="11"/>
      <c r="C38" s="15" t="s">
        <v>6</v>
      </c>
      <c r="D38" s="15"/>
      <c r="E38" s="21"/>
      <c r="F38" s="1"/>
      <c r="G38" s="1"/>
      <c r="H38" s="1"/>
      <c r="I38" s="1"/>
      <c r="J38" s="1"/>
      <c r="K38" s="1"/>
      <c r="L38" s="1"/>
      <c r="M38" s="10">
        <v>1</v>
      </c>
      <c r="N38" s="10">
        <v>2</v>
      </c>
      <c r="O38" s="10">
        <v>3</v>
      </c>
      <c r="P38" s="1"/>
      <c r="Q38" s="1"/>
      <c r="R38" s="1"/>
      <c r="S38" s="1"/>
      <c r="T38" s="1"/>
      <c r="U38" s="2"/>
      <c r="V38" s="1"/>
      <c r="W38" s="2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40" spans="1:47" ht="24" x14ac:dyDescent="0.25">
      <c r="A40" s="16" t="s">
        <v>18</v>
      </c>
      <c r="B40" s="11" t="s">
        <v>0</v>
      </c>
      <c r="C40" s="12" t="s">
        <v>1</v>
      </c>
      <c r="D40" s="12"/>
      <c r="E40" s="21">
        <v>12</v>
      </c>
      <c r="F40" s="1">
        <v>24</v>
      </c>
      <c r="G40" s="1">
        <v>34</v>
      </c>
      <c r="H40" s="1">
        <v>45</v>
      </c>
      <c r="I40" s="1">
        <v>55</v>
      </c>
      <c r="J40" s="1">
        <v>66</v>
      </c>
      <c r="K40" s="1">
        <v>76</v>
      </c>
      <c r="L40" s="2">
        <v>78</v>
      </c>
      <c r="M40" s="2">
        <v>89</v>
      </c>
      <c r="N40" s="2">
        <v>102</v>
      </c>
      <c r="O40" s="2">
        <v>161</v>
      </c>
      <c r="P40" s="1">
        <v>246</v>
      </c>
      <c r="Q40" s="1">
        <v>247</v>
      </c>
      <c r="R40" s="1">
        <v>248</v>
      </c>
      <c r="S40" s="1" t="s">
        <v>16</v>
      </c>
    </row>
    <row r="41" spans="1:47" ht="24" x14ac:dyDescent="0.25">
      <c r="A41" s="16"/>
      <c r="B41" s="11"/>
      <c r="C41" s="13" t="s">
        <v>2</v>
      </c>
      <c r="D41" s="13"/>
      <c r="E41" s="21"/>
      <c r="F41" s="1"/>
      <c r="G41" s="1"/>
      <c r="H41" s="1"/>
      <c r="I41" s="1"/>
      <c r="J41" s="1"/>
      <c r="K41" s="1"/>
      <c r="L41" s="2"/>
      <c r="M41" s="1"/>
      <c r="N41" s="1"/>
      <c r="S41" s="1"/>
    </row>
    <row r="42" spans="1:47" ht="25" x14ac:dyDescent="0.25">
      <c r="A42" s="16"/>
      <c r="B42" s="11"/>
      <c r="C42" s="14" t="s">
        <v>3</v>
      </c>
      <c r="D42" s="3" t="s">
        <v>4</v>
      </c>
      <c r="E42" s="2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</row>
    <row r="43" spans="1:47" ht="25" x14ac:dyDescent="0.25">
      <c r="A43" s="16"/>
      <c r="B43" s="11"/>
      <c r="C43" s="14"/>
      <c r="D43" s="3" t="s">
        <v>5</v>
      </c>
      <c r="E43" s="21"/>
      <c r="F43" s="4"/>
      <c r="G43" s="4"/>
      <c r="H43" s="4"/>
      <c r="I43" s="4"/>
      <c r="J43" s="4"/>
      <c r="K43" s="4"/>
      <c r="L43" s="5"/>
      <c r="M43" s="4"/>
      <c r="N43" s="4"/>
      <c r="O43" s="4"/>
      <c r="P43" s="4"/>
      <c r="Q43" s="4"/>
      <c r="R43" s="4"/>
      <c r="S43" s="4"/>
    </row>
    <row r="44" spans="1:47" ht="24" x14ac:dyDescent="0.25">
      <c r="A44" s="16"/>
      <c r="B44" s="11"/>
      <c r="C44" s="15" t="s">
        <v>6</v>
      </c>
      <c r="D44" s="15"/>
      <c r="E44" s="21"/>
      <c r="F44" s="1"/>
      <c r="G44" s="1"/>
      <c r="H44" s="1"/>
      <c r="I44" s="10"/>
      <c r="J44" s="10"/>
      <c r="K44" s="10"/>
      <c r="L44" s="10"/>
      <c r="M44" s="10"/>
      <c r="N44" s="1"/>
      <c r="O44" s="1"/>
      <c r="P44" s="1"/>
      <c r="Q44" s="1"/>
      <c r="R44" s="1"/>
      <c r="S44" s="1"/>
    </row>
    <row r="45" spans="1:47" ht="24" x14ac:dyDescent="0.25">
      <c r="A45" s="16"/>
      <c r="B45" s="11" t="s">
        <v>7</v>
      </c>
      <c r="C45" s="12" t="s">
        <v>1</v>
      </c>
      <c r="D45" s="12"/>
      <c r="E45" s="21">
        <v>7</v>
      </c>
      <c r="F45" s="1">
        <v>19</v>
      </c>
      <c r="G45" s="1">
        <v>31</v>
      </c>
      <c r="H45" s="1">
        <v>43</v>
      </c>
      <c r="I45" s="1">
        <v>55</v>
      </c>
      <c r="J45" s="1">
        <v>67</v>
      </c>
      <c r="K45" s="1">
        <v>80</v>
      </c>
      <c r="L45" s="2">
        <v>92</v>
      </c>
      <c r="M45" s="2">
        <v>104</v>
      </c>
      <c r="N45" s="2">
        <v>258</v>
      </c>
      <c r="O45" s="2">
        <v>259</v>
      </c>
      <c r="P45" s="1">
        <v>260</v>
      </c>
      <c r="Q45" s="1" t="s">
        <v>16</v>
      </c>
      <c r="R45" s="1"/>
      <c r="S45" s="1"/>
    </row>
    <row r="46" spans="1:47" ht="24" x14ac:dyDescent="0.25">
      <c r="A46" s="16"/>
      <c r="B46" s="11"/>
      <c r="C46" s="13" t="s">
        <v>2</v>
      </c>
      <c r="D46" s="13"/>
      <c r="E46" s="2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</row>
    <row r="47" spans="1:47" ht="25" x14ac:dyDescent="0.25">
      <c r="A47" s="16"/>
      <c r="B47" s="11"/>
      <c r="C47" s="14" t="s">
        <v>3</v>
      </c>
      <c r="D47" s="3" t="s">
        <v>4</v>
      </c>
      <c r="E47" s="2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</row>
    <row r="48" spans="1:47" ht="25" x14ac:dyDescent="0.25">
      <c r="A48" s="16"/>
      <c r="B48" s="11"/>
      <c r="C48" s="14"/>
      <c r="D48" s="3" t="s">
        <v>5</v>
      </c>
      <c r="E48" s="21"/>
      <c r="F48" s="4"/>
      <c r="G48" s="4"/>
      <c r="H48" s="4"/>
      <c r="I48" s="4"/>
      <c r="J48" s="4"/>
      <c r="K48" s="4"/>
      <c r="L48" s="5"/>
      <c r="M48" s="4"/>
      <c r="N48" s="4"/>
      <c r="O48" s="4"/>
      <c r="P48" s="4"/>
      <c r="Q48" s="4"/>
      <c r="R48" s="4"/>
      <c r="S48" s="4"/>
    </row>
    <row r="49" spans="1:21" ht="24" x14ac:dyDescent="0.25">
      <c r="A49" s="16"/>
      <c r="B49" s="11"/>
      <c r="C49" s="15" t="s">
        <v>6</v>
      </c>
      <c r="D49" s="15"/>
      <c r="E49" s="21"/>
      <c r="F49" s="1"/>
      <c r="G49" s="1"/>
      <c r="H49" s="1"/>
      <c r="I49" s="10"/>
      <c r="J49" s="10"/>
      <c r="K49" s="10"/>
      <c r="L49" s="1"/>
      <c r="M49" s="1"/>
      <c r="N49" s="1"/>
      <c r="O49" s="1"/>
      <c r="P49" s="1"/>
      <c r="Q49" s="1"/>
      <c r="R49" s="1"/>
      <c r="S49" s="1"/>
    </row>
    <row r="50" spans="1:21" ht="24" x14ac:dyDescent="0.25">
      <c r="A50" s="16"/>
      <c r="B50" s="11" t="s">
        <v>8</v>
      </c>
      <c r="C50" s="12" t="s">
        <v>1</v>
      </c>
      <c r="D50" s="12"/>
      <c r="E50" s="21">
        <v>8</v>
      </c>
      <c r="F50" s="1">
        <v>20</v>
      </c>
      <c r="G50" s="1">
        <v>31</v>
      </c>
      <c r="H50" s="1">
        <v>44</v>
      </c>
      <c r="I50" s="1">
        <v>53</v>
      </c>
      <c r="J50" s="1">
        <v>1</v>
      </c>
      <c r="K50" s="1">
        <v>69</v>
      </c>
      <c r="L50" s="1">
        <v>77</v>
      </c>
      <c r="M50" s="1">
        <v>84</v>
      </c>
      <c r="N50" s="2">
        <v>93</v>
      </c>
      <c r="O50" s="2">
        <v>103</v>
      </c>
      <c r="P50" s="2">
        <v>112</v>
      </c>
      <c r="Q50" s="1">
        <v>154</v>
      </c>
      <c r="R50" s="1">
        <v>293</v>
      </c>
      <c r="S50" s="1">
        <v>294</v>
      </c>
      <c r="T50" s="1">
        <v>295</v>
      </c>
    </row>
    <row r="51" spans="1:21" ht="24" x14ac:dyDescent="0.25">
      <c r="A51" s="16"/>
      <c r="B51" s="11"/>
      <c r="C51" s="13" t="s">
        <v>2</v>
      </c>
      <c r="D51" s="13"/>
      <c r="E51" s="21"/>
      <c r="F51" s="1"/>
      <c r="G51" s="1"/>
      <c r="H51" s="1"/>
      <c r="I51" s="1"/>
      <c r="J51" s="1"/>
      <c r="K51" s="1"/>
      <c r="L51" s="1"/>
      <c r="M51" s="2"/>
      <c r="N51" s="1"/>
      <c r="O51" s="1"/>
      <c r="P51" s="1"/>
      <c r="Q51" s="1"/>
      <c r="R51" s="1"/>
      <c r="S51" s="1"/>
    </row>
    <row r="52" spans="1:21" ht="25" x14ac:dyDescent="0.25">
      <c r="A52" s="16"/>
      <c r="B52" s="11"/>
      <c r="C52" s="14" t="s">
        <v>3</v>
      </c>
      <c r="D52" s="3" t="s">
        <v>4</v>
      </c>
      <c r="E52" s="21"/>
      <c r="F52" s="1"/>
      <c r="G52" s="1"/>
      <c r="H52" s="1"/>
      <c r="I52" s="1"/>
      <c r="J52" s="1"/>
      <c r="K52" s="1"/>
      <c r="L52" s="1"/>
      <c r="M52" s="2"/>
      <c r="N52" s="1"/>
      <c r="O52" s="1"/>
      <c r="P52" s="1"/>
      <c r="Q52" s="1"/>
      <c r="R52" s="1"/>
      <c r="S52" s="1"/>
    </row>
    <row r="53" spans="1:21" ht="25" x14ac:dyDescent="0.25">
      <c r="A53" s="16"/>
      <c r="B53" s="11"/>
      <c r="C53" s="14"/>
      <c r="D53" s="3" t="s">
        <v>5</v>
      </c>
      <c r="E53" s="21"/>
      <c r="F53" s="4"/>
      <c r="G53" s="4"/>
      <c r="H53" s="4"/>
      <c r="I53" s="4"/>
      <c r="J53" s="4"/>
      <c r="K53" s="4"/>
      <c r="L53" s="4"/>
      <c r="M53" s="5"/>
      <c r="N53" s="4"/>
      <c r="O53" s="4"/>
      <c r="P53" s="4"/>
      <c r="Q53" s="4"/>
      <c r="R53" s="4"/>
      <c r="S53" s="4"/>
    </row>
    <row r="54" spans="1:21" ht="24" x14ac:dyDescent="0.25">
      <c r="A54" s="16"/>
      <c r="B54" s="11"/>
      <c r="C54" s="15" t="s">
        <v>6</v>
      </c>
      <c r="D54" s="15"/>
      <c r="E54" s="21"/>
      <c r="F54" s="1"/>
      <c r="G54" s="1"/>
      <c r="H54" s="1"/>
      <c r="I54" s="1"/>
      <c r="J54" s="10"/>
      <c r="K54" s="10"/>
      <c r="L54" s="10"/>
      <c r="M54" s="10"/>
      <c r="N54" s="1"/>
      <c r="O54" s="1"/>
      <c r="P54" s="1"/>
      <c r="Q54" s="1"/>
      <c r="R54" s="1"/>
      <c r="S54" s="1"/>
    </row>
    <row r="55" spans="1:21" ht="24" x14ac:dyDescent="0.25">
      <c r="A55" s="16"/>
      <c r="B55" s="11" t="s">
        <v>9</v>
      </c>
      <c r="C55" s="12" t="s">
        <v>1</v>
      </c>
      <c r="D55" s="12"/>
      <c r="E55" s="21">
        <v>11</v>
      </c>
      <c r="F55" s="1">
        <v>19</v>
      </c>
      <c r="G55" s="1">
        <v>29</v>
      </c>
      <c r="H55" s="1">
        <v>41</v>
      </c>
      <c r="I55" s="1">
        <v>53</v>
      </c>
      <c r="J55" s="1">
        <v>65</v>
      </c>
      <c r="K55" s="1">
        <v>85</v>
      </c>
      <c r="L55" s="1">
        <v>102</v>
      </c>
      <c r="M55" s="1">
        <v>114</v>
      </c>
      <c r="N55" s="1">
        <v>151</v>
      </c>
      <c r="O55" s="1">
        <v>294</v>
      </c>
      <c r="P55" s="1">
        <v>295</v>
      </c>
      <c r="Q55" s="1">
        <v>296</v>
      </c>
      <c r="R55" s="2" t="s">
        <v>16</v>
      </c>
      <c r="S55" s="2"/>
    </row>
    <row r="56" spans="1:21" ht="24" x14ac:dyDescent="0.25">
      <c r="A56" s="16"/>
      <c r="B56" s="11"/>
      <c r="C56" s="13" t="s">
        <v>2</v>
      </c>
      <c r="D56" s="13"/>
      <c r="E56" s="2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2"/>
      <c r="S56" s="1"/>
    </row>
    <row r="57" spans="1:21" ht="25" x14ac:dyDescent="0.25">
      <c r="A57" s="16"/>
      <c r="B57" s="11"/>
      <c r="C57" s="14" t="s">
        <v>3</v>
      </c>
      <c r="D57" s="3" t="s">
        <v>4</v>
      </c>
      <c r="E57" s="2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"/>
      <c r="S57" s="1"/>
    </row>
    <row r="58" spans="1:21" ht="25" x14ac:dyDescent="0.25">
      <c r="A58" s="16"/>
      <c r="B58" s="11"/>
      <c r="C58" s="14"/>
      <c r="D58" s="3" t="s">
        <v>5</v>
      </c>
      <c r="E58" s="2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5"/>
      <c r="S58" s="4"/>
    </row>
    <row r="59" spans="1:21" ht="24" x14ac:dyDescent="0.25">
      <c r="A59" s="16"/>
      <c r="B59" s="11"/>
      <c r="C59" s="15" t="s">
        <v>6</v>
      </c>
      <c r="D59" s="15"/>
      <c r="E59" s="21"/>
      <c r="F59" s="1"/>
      <c r="G59" s="1"/>
      <c r="H59" s="1"/>
      <c r="I59" s="1"/>
      <c r="J59" s="1"/>
      <c r="K59" s="1"/>
      <c r="L59" s="1"/>
      <c r="M59" s="1"/>
      <c r="N59" s="10"/>
      <c r="O59" s="10"/>
      <c r="P59" s="10"/>
      <c r="Q59" s="10"/>
      <c r="R59" s="10"/>
      <c r="S59" s="1"/>
    </row>
    <row r="61" spans="1:21" ht="24" x14ac:dyDescent="0.25">
      <c r="A61" s="16" t="s">
        <v>19</v>
      </c>
      <c r="B61" s="11" t="s">
        <v>0</v>
      </c>
      <c r="C61" s="12" t="s">
        <v>1</v>
      </c>
      <c r="D61" s="12"/>
      <c r="E61" s="21">
        <v>1</v>
      </c>
      <c r="F61" s="1">
        <v>11</v>
      </c>
      <c r="G61" s="1">
        <v>21</v>
      </c>
      <c r="H61" s="1">
        <v>31</v>
      </c>
      <c r="I61" s="1">
        <v>39</v>
      </c>
      <c r="J61" s="1">
        <v>51</v>
      </c>
      <c r="K61" s="1">
        <v>61</v>
      </c>
      <c r="L61" s="1">
        <v>73</v>
      </c>
      <c r="M61" s="1">
        <v>85</v>
      </c>
      <c r="N61" s="2">
        <v>99</v>
      </c>
      <c r="O61" s="2">
        <v>117</v>
      </c>
      <c r="P61" s="2">
        <v>197</v>
      </c>
      <c r="Q61" s="2">
        <v>198</v>
      </c>
      <c r="R61" s="2">
        <v>199</v>
      </c>
      <c r="S61" s="2" t="s">
        <v>16</v>
      </c>
      <c r="T61" s="1"/>
      <c r="U61" s="1"/>
    </row>
    <row r="62" spans="1:21" ht="24" x14ac:dyDescent="0.25">
      <c r="A62" s="16"/>
      <c r="B62" s="11"/>
      <c r="C62" s="13" t="s">
        <v>2</v>
      </c>
      <c r="D62" s="13"/>
      <c r="E62" s="2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</row>
    <row r="63" spans="1:21" ht="25" x14ac:dyDescent="0.25">
      <c r="A63" s="16"/>
      <c r="B63" s="11"/>
      <c r="C63" s="14" t="s">
        <v>3</v>
      </c>
      <c r="D63" s="3" t="s">
        <v>4</v>
      </c>
      <c r="E63" s="2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</row>
    <row r="64" spans="1:21" ht="25" x14ac:dyDescent="0.25">
      <c r="A64" s="16"/>
      <c r="B64" s="11"/>
      <c r="C64" s="14"/>
      <c r="D64" s="3" t="s">
        <v>5</v>
      </c>
      <c r="E64" s="21"/>
      <c r="F64" s="4"/>
      <c r="G64" s="4"/>
      <c r="H64" s="4"/>
      <c r="I64" s="4"/>
      <c r="J64" s="4"/>
      <c r="K64" s="4"/>
      <c r="L64" s="5"/>
      <c r="M64" s="4"/>
      <c r="N64" s="4"/>
      <c r="O64" s="4"/>
      <c r="P64" s="4"/>
      <c r="Q64" s="4"/>
      <c r="R64" s="4"/>
      <c r="S64" s="4"/>
      <c r="T64" s="4"/>
      <c r="U64" s="4"/>
    </row>
    <row r="65" spans="1:21" ht="24" x14ac:dyDescent="0.25">
      <c r="A65" s="16"/>
      <c r="B65" s="11"/>
      <c r="C65" s="15" t="s">
        <v>6</v>
      </c>
      <c r="D65" s="15"/>
      <c r="E65" s="21"/>
      <c r="F65" s="1"/>
      <c r="G65" s="1"/>
      <c r="H65" s="1"/>
      <c r="I65" s="10"/>
      <c r="J65" s="10"/>
      <c r="K65" s="10"/>
      <c r="L65" s="10"/>
      <c r="M65" s="10"/>
      <c r="N65" s="1"/>
      <c r="O65" s="1"/>
      <c r="P65" s="1"/>
      <c r="Q65" s="1"/>
      <c r="R65" s="1"/>
      <c r="S65" s="1"/>
      <c r="T65" s="1"/>
      <c r="U65" s="1"/>
    </row>
    <row r="66" spans="1:21" ht="24" x14ac:dyDescent="0.25">
      <c r="A66" s="16"/>
      <c r="B66" s="11" t="s">
        <v>7</v>
      </c>
      <c r="C66" s="12" t="s">
        <v>1</v>
      </c>
      <c r="D66" s="12"/>
      <c r="E66" s="21">
        <v>11</v>
      </c>
      <c r="F66" s="1">
        <v>20</v>
      </c>
      <c r="G66" s="1">
        <v>28</v>
      </c>
      <c r="H66" s="1">
        <v>38</v>
      </c>
      <c r="I66" s="1">
        <v>48</v>
      </c>
      <c r="J66" s="1">
        <v>62</v>
      </c>
      <c r="K66" s="1">
        <v>75</v>
      </c>
      <c r="L66" s="2">
        <v>56</v>
      </c>
      <c r="M66" s="2">
        <v>103</v>
      </c>
      <c r="N66" s="2">
        <v>121</v>
      </c>
      <c r="O66" s="2">
        <v>152</v>
      </c>
      <c r="P66" s="1">
        <v>190</v>
      </c>
      <c r="Q66" s="2">
        <v>373</v>
      </c>
      <c r="R66" s="2">
        <v>374</v>
      </c>
      <c r="S66" s="2">
        <v>375</v>
      </c>
      <c r="T66" s="2" t="s">
        <v>16</v>
      </c>
      <c r="U66" s="1"/>
    </row>
    <row r="67" spans="1:21" ht="24" x14ac:dyDescent="0.25">
      <c r="A67" s="16"/>
      <c r="B67" s="11"/>
      <c r="C67" s="13" t="s">
        <v>2</v>
      </c>
      <c r="D67" s="13"/>
      <c r="E67" s="2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</row>
    <row r="68" spans="1:21" ht="25" x14ac:dyDescent="0.25">
      <c r="A68" s="16"/>
      <c r="B68" s="11"/>
      <c r="C68" s="14" t="s">
        <v>3</v>
      </c>
      <c r="D68" s="3" t="s">
        <v>4</v>
      </c>
      <c r="E68" s="2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</row>
    <row r="69" spans="1:21" ht="25" x14ac:dyDescent="0.25">
      <c r="A69" s="16"/>
      <c r="B69" s="11"/>
      <c r="C69" s="14"/>
      <c r="D69" s="3" t="s">
        <v>5</v>
      </c>
      <c r="E69" s="21"/>
      <c r="F69" s="4"/>
      <c r="G69" s="4"/>
      <c r="H69" s="4"/>
      <c r="I69" s="4"/>
      <c r="J69" s="4"/>
      <c r="K69" s="4"/>
      <c r="L69" s="5"/>
      <c r="M69" s="4"/>
      <c r="N69" s="4"/>
      <c r="O69" s="4"/>
      <c r="P69" s="4"/>
      <c r="Q69" s="4"/>
      <c r="R69" s="4"/>
      <c r="S69" s="4"/>
      <c r="T69" s="4"/>
      <c r="U69" s="4"/>
    </row>
    <row r="70" spans="1:21" ht="24" x14ac:dyDescent="0.25">
      <c r="A70" s="16"/>
      <c r="B70" s="11"/>
      <c r="C70" s="15" t="s">
        <v>6</v>
      </c>
      <c r="D70" s="15"/>
      <c r="E70" s="21"/>
      <c r="F70" s="1"/>
      <c r="G70" s="1"/>
      <c r="H70" s="1"/>
      <c r="I70" s="10"/>
      <c r="J70" s="10"/>
      <c r="K70" s="10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24" x14ac:dyDescent="0.25">
      <c r="A71" s="16"/>
      <c r="B71" s="11" t="s">
        <v>8</v>
      </c>
      <c r="C71" s="12" t="s">
        <v>1</v>
      </c>
      <c r="D71" s="12"/>
      <c r="E71" s="21">
        <v>6</v>
      </c>
      <c r="F71" s="1">
        <v>15</v>
      </c>
      <c r="G71" s="1">
        <v>23</v>
      </c>
      <c r="H71" s="1">
        <v>33</v>
      </c>
      <c r="I71" s="1">
        <v>43</v>
      </c>
      <c r="J71" s="1">
        <v>55</v>
      </c>
      <c r="K71" s="1">
        <v>65</v>
      </c>
      <c r="L71" s="1">
        <v>79</v>
      </c>
      <c r="M71" s="2">
        <v>92</v>
      </c>
      <c r="N71" s="2">
        <v>238</v>
      </c>
      <c r="O71" s="2">
        <v>239</v>
      </c>
      <c r="P71" s="2">
        <v>240</v>
      </c>
      <c r="Q71" s="1" t="s">
        <v>16</v>
      </c>
      <c r="R71" s="1"/>
      <c r="S71" s="1"/>
      <c r="T71" s="1"/>
      <c r="U71" s="1"/>
    </row>
    <row r="72" spans="1:21" ht="24" x14ac:dyDescent="0.25">
      <c r="A72" s="16"/>
      <c r="B72" s="11"/>
      <c r="C72" s="13" t="s">
        <v>2</v>
      </c>
      <c r="D72" s="13"/>
      <c r="E72" s="21"/>
      <c r="F72" s="1"/>
      <c r="G72" s="1"/>
      <c r="H72" s="1"/>
      <c r="I72" s="1"/>
      <c r="J72" s="1"/>
      <c r="K72" s="1"/>
      <c r="L72" s="1"/>
      <c r="M72" s="2"/>
      <c r="N72" s="1"/>
      <c r="O72" s="1"/>
      <c r="P72" s="1"/>
      <c r="Q72" s="1"/>
      <c r="R72" s="1"/>
      <c r="S72" s="1"/>
      <c r="T72" s="1"/>
      <c r="U72" s="1"/>
    </row>
    <row r="73" spans="1:21" ht="25" x14ac:dyDescent="0.25">
      <c r="A73" s="16"/>
      <c r="B73" s="11"/>
      <c r="C73" s="14" t="s">
        <v>3</v>
      </c>
      <c r="D73" s="3" t="s">
        <v>4</v>
      </c>
      <c r="E73" s="21"/>
      <c r="F73" s="1"/>
      <c r="G73" s="1"/>
      <c r="H73" s="1"/>
      <c r="I73" s="1"/>
      <c r="J73" s="1"/>
      <c r="K73" s="1"/>
      <c r="L73" s="1"/>
      <c r="M73" s="2"/>
      <c r="N73" s="1"/>
      <c r="O73" s="1"/>
      <c r="P73" s="1"/>
      <c r="Q73" s="1"/>
      <c r="R73" s="1"/>
      <c r="S73" s="1"/>
      <c r="T73" s="1"/>
      <c r="U73" s="1"/>
    </row>
    <row r="74" spans="1:21" ht="25" x14ac:dyDescent="0.25">
      <c r="A74" s="16"/>
      <c r="B74" s="11"/>
      <c r="C74" s="14"/>
      <c r="D74" s="3" t="s">
        <v>5</v>
      </c>
      <c r="E74" s="21"/>
      <c r="F74" s="4"/>
      <c r="G74" s="4"/>
      <c r="H74" s="4"/>
      <c r="I74" s="4"/>
      <c r="J74" s="4"/>
      <c r="K74" s="4"/>
      <c r="L74" s="4"/>
      <c r="M74" s="5"/>
      <c r="N74" s="4"/>
      <c r="O74" s="4"/>
      <c r="P74" s="4"/>
      <c r="Q74" s="4"/>
      <c r="R74" s="4"/>
      <c r="S74" s="4"/>
      <c r="T74" s="4"/>
      <c r="U74" s="4"/>
    </row>
    <row r="75" spans="1:21" ht="24" x14ac:dyDescent="0.25">
      <c r="A75" s="16"/>
      <c r="B75" s="11"/>
      <c r="C75" s="15" t="s">
        <v>6</v>
      </c>
      <c r="D75" s="15"/>
      <c r="E75" s="21"/>
      <c r="F75" s="1"/>
      <c r="G75" s="1"/>
      <c r="H75" s="1"/>
      <c r="I75" s="1"/>
      <c r="J75" s="10"/>
      <c r="K75" s="10"/>
      <c r="L75" s="10"/>
      <c r="M75" s="10"/>
      <c r="N75" s="1"/>
      <c r="O75" s="1"/>
      <c r="P75" s="1"/>
      <c r="Q75" s="1"/>
      <c r="R75" s="1"/>
      <c r="S75" s="1"/>
      <c r="T75" s="1"/>
      <c r="U75" s="1"/>
    </row>
    <row r="76" spans="1:21" ht="24" x14ac:dyDescent="0.25">
      <c r="A76" s="16"/>
      <c r="B76" s="11" t="s">
        <v>9</v>
      </c>
      <c r="C76" s="12" t="s">
        <v>1</v>
      </c>
      <c r="D76" s="12"/>
      <c r="E76" s="21">
        <v>5</v>
      </c>
      <c r="F76" s="1">
        <v>15</v>
      </c>
      <c r="G76" s="1">
        <v>23</v>
      </c>
      <c r="H76" s="1">
        <v>31</v>
      </c>
      <c r="I76" s="1">
        <v>40</v>
      </c>
      <c r="J76" s="1">
        <v>51</v>
      </c>
      <c r="K76" s="1">
        <v>62</v>
      </c>
      <c r="L76" s="1">
        <v>71</v>
      </c>
      <c r="M76" s="1">
        <v>81</v>
      </c>
      <c r="N76" s="1">
        <v>92</v>
      </c>
      <c r="O76" s="1">
        <v>104</v>
      </c>
      <c r="P76" s="1">
        <v>120</v>
      </c>
      <c r="Q76" s="1">
        <v>132</v>
      </c>
      <c r="R76" s="2">
        <v>174</v>
      </c>
      <c r="S76" s="2">
        <v>175</v>
      </c>
      <c r="T76" s="2">
        <v>176</v>
      </c>
      <c r="U76" s="2" t="s">
        <v>16</v>
      </c>
    </row>
    <row r="77" spans="1:21" ht="24" x14ac:dyDescent="0.25">
      <c r="A77" s="16"/>
      <c r="B77" s="11"/>
      <c r="C77" s="13" t="s">
        <v>2</v>
      </c>
      <c r="D77" s="13"/>
      <c r="E77" s="2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2"/>
      <c r="S77" s="1"/>
      <c r="T77" s="1"/>
      <c r="U77" s="2"/>
    </row>
    <row r="78" spans="1:21" ht="25" x14ac:dyDescent="0.25">
      <c r="A78" s="16"/>
      <c r="B78" s="11"/>
      <c r="C78" s="14" t="s">
        <v>3</v>
      </c>
      <c r="D78" s="3" t="s">
        <v>4</v>
      </c>
      <c r="E78" s="2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2"/>
      <c r="S78" s="1"/>
      <c r="T78" s="1"/>
      <c r="U78" s="2"/>
    </row>
    <row r="79" spans="1:21" ht="25" x14ac:dyDescent="0.25">
      <c r="A79" s="16"/>
      <c r="B79" s="11"/>
      <c r="C79" s="14"/>
      <c r="D79" s="3" t="s">
        <v>5</v>
      </c>
      <c r="E79" s="21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5"/>
      <c r="S79" s="4"/>
      <c r="T79" s="4"/>
      <c r="U79" s="5"/>
    </row>
    <row r="80" spans="1:21" ht="24" x14ac:dyDescent="0.25">
      <c r="A80" s="16"/>
      <c r="B80" s="11"/>
      <c r="C80" s="15" t="s">
        <v>6</v>
      </c>
      <c r="D80" s="15"/>
      <c r="E80" s="21"/>
      <c r="F80" s="1"/>
      <c r="G80" s="1"/>
      <c r="H80" s="1"/>
      <c r="I80" s="1"/>
      <c r="J80" s="1"/>
      <c r="K80" s="1"/>
      <c r="L80" s="1"/>
      <c r="M80" s="1"/>
      <c r="N80" s="10"/>
      <c r="O80" s="10"/>
      <c r="P80" s="10"/>
      <c r="Q80" s="10"/>
      <c r="R80" s="10"/>
      <c r="S80" s="1"/>
      <c r="T80" s="1"/>
      <c r="U80" s="2"/>
    </row>
    <row r="81" spans="1:21" ht="24" x14ac:dyDescent="0.25">
      <c r="A81" s="16"/>
      <c r="B81" s="11" t="s">
        <v>10</v>
      </c>
      <c r="C81" s="12" t="s">
        <v>1</v>
      </c>
      <c r="D81" s="12"/>
      <c r="E81" s="21">
        <v>5</v>
      </c>
      <c r="F81" s="1">
        <v>14</v>
      </c>
      <c r="G81" s="1">
        <v>25</v>
      </c>
      <c r="H81" s="1">
        <v>35</v>
      </c>
      <c r="I81" s="1">
        <v>48</v>
      </c>
      <c r="J81" s="1">
        <v>60</v>
      </c>
      <c r="K81" s="1">
        <v>69</v>
      </c>
      <c r="L81" s="1">
        <v>78</v>
      </c>
      <c r="M81" s="1">
        <v>89</v>
      </c>
      <c r="N81" s="1">
        <v>102</v>
      </c>
      <c r="O81" s="1">
        <v>114</v>
      </c>
      <c r="P81" s="1">
        <v>316</v>
      </c>
      <c r="Q81" s="2">
        <v>317</v>
      </c>
      <c r="R81" s="2">
        <v>318</v>
      </c>
      <c r="S81" s="2" t="s">
        <v>16</v>
      </c>
      <c r="T81" s="1"/>
      <c r="U81" s="1"/>
    </row>
    <row r="82" spans="1:21" ht="24" x14ac:dyDescent="0.25">
      <c r="A82" s="16"/>
      <c r="B82" s="11"/>
      <c r="C82" s="13" t="s">
        <v>2</v>
      </c>
      <c r="D82" s="13"/>
      <c r="E82" s="21"/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  <c r="Q82" s="1"/>
      <c r="R82" s="1"/>
      <c r="S82" s="1"/>
      <c r="T82" s="1"/>
      <c r="U82" s="1"/>
    </row>
    <row r="83" spans="1:21" ht="25" x14ac:dyDescent="0.25">
      <c r="A83" s="16"/>
      <c r="B83" s="11"/>
      <c r="C83" s="14" t="s">
        <v>3</v>
      </c>
      <c r="D83" s="3" t="s">
        <v>4</v>
      </c>
      <c r="E83" s="21"/>
      <c r="F83" s="1"/>
      <c r="G83" s="1"/>
      <c r="H83" s="1"/>
      <c r="I83" s="1"/>
      <c r="J83" s="1"/>
      <c r="K83" s="1"/>
      <c r="L83" s="1"/>
      <c r="M83" s="1"/>
      <c r="N83" s="1"/>
      <c r="O83" s="1"/>
      <c r="P83" s="2"/>
      <c r="Q83" s="1"/>
      <c r="R83" s="1"/>
      <c r="S83" s="1"/>
      <c r="T83" s="1"/>
      <c r="U83" s="1"/>
    </row>
    <row r="84" spans="1:21" ht="25" x14ac:dyDescent="0.25">
      <c r="A84" s="16"/>
      <c r="B84" s="11"/>
      <c r="C84" s="14"/>
      <c r="D84" s="3" t="s">
        <v>5</v>
      </c>
      <c r="E84" s="21"/>
      <c r="F84" s="4"/>
      <c r="G84" s="4"/>
      <c r="H84" s="4"/>
      <c r="I84" s="4"/>
      <c r="J84" s="4"/>
      <c r="K84" s="4"/>
      <c r="L84" s="4"/>
      <c r="M84" s="4"/>
      <c r="N84" s="4"/>
      <c r="O84" s="4"/>
      <c r="P84" s="5"/>
      <c r="Q84" s="4"/>
      <c r="R84" s="4"/>
      <c r="S84" s="4"/>
      <c r="T84" s="4"/>
      <c r="U84" s="4"/>
    </row>
    <row r="85" spans="1:21" ht="24" x14ac:dyDescent="0.25">
      <c r="A85" s="16"/>
      <c r="B85" s="11"/>
      <c r="C85" s="15" t="s">
        <v>6</v>
      </c>
      <c r="D85" s="15"/>
      <c r="E85" s="21"/>
      <c r="F85" s="1"/>
      <c r="G85" s="1"/>
      <c r="H85" s="1"/>
      <c r="I85" s="1"/>
      <c r="J85" s="1"/>
      <c r="K85" s="1"/>
      <c r="L85" s="1"/>
      <c r="M85" s="10"/>
      <c r="N85" s="10"/>
      <c r="O85" s="10"/>
      <c r="P85" s="10"/>
      <c r="Q85" s="1"/>
      <c r="R85" s="1"/>
      <c r="S85" s="1"/>
      <c r="T85" s="1"/>
      <c r="U85" s="1"/>
    </row>
    <row r="86" spans="1:21" ht="24" x14ac:dyDescent="0.25">
      <c r="A86" s="16"/>
      <c r="B86" s="11" t="s">
        <v>11</v>
      </c>
      <c r="C86" s="12" t="s">
        <v>1</v>
      </c>
      <c r="D86" s="12"/>
      <c r="E86" s="21">
        <v>5</v>
      </c>
      <c r="F86" s="1">
        <v>15</v>
      </c>
      <c r="G86" s="1">
        <v>26</v>
      </c>
      <c r="H86" s="1">
        <v>33</v>
      </c>
      <c r="I86" s="1">
        <v>43</v>
      </c>
      <c r="J86" s="1">
        <v>55</v>
      </c>
      <c r="K86" s="1">
        <v>67</v>
      </c>
      <c r="L86" s="1">
        <v>76</v>
      </c>
      <c r="M86" s="1">
        <v>88</v>
      </c>
      <c r="N86" s="2">
        <v>96</v>
      </c>
      <c r="O86" s="2">
        <v>108</v>
      </c>
      <c r="P86" s="1">
        <v>143</v>
      </c>
      <c r="Q86" s="2">
        <v>285</v>
      </c>
      <c r="R86" s="2">
        <v>286</v>
      </c>
      <c r="S86" s="2">
        <v>287</v>
      </c>
      <c r="T86" s="2" t="s">
        <v>16</v>
      </c>
      <c r="U86" s="1"/>
    </row>
    <row r="87" spans="1:21" ht="24" x14ac:dyDescent="0.25">
      <c r="A87" s="16"/>
      <c r="B87" s="11"/>
      <c r="C87" s="13" t="s">
        <v>2</v>
      </c>
      <c r="D87" s="13"/>
      <c r="E87" s="21"/>
      <c r="F87" s="1"/>
      <c r="G87" s="1"/>
      <c r="H87" s="1"/>
      <c r="I87" s="1"/>
      <c r="J87" s="1"/>
      <c r="K87" s="1"/>
      <c r="L87" s="1"/>
      <c r="M87" s="1"/>
      <c r="N87" s="2"/>
      <c r="O87" s="1"/>
      <c r="P87" s="1"/>
      <c r="Q87" s="1"/>
      <c r="R87" s="1"/>
      <c r="S87" s="1"/>
      <c r="T87" s="1"/>
      <c r="U87" s="1"/>
    </row>
    <row r="88" spans="1:21" ht="25" x14ac:dyDescent="0.25">
      <c r="A88" s="16"/>
      <c r="B88" s="11"/>
      <c r="C88" s="14" t="s">
        <v>3</v>
      </c>
      <c r="D88" s="3" t="s">
        <v>4</v>
      </c>
      <c r="E88" s="21"/>
      <c r="F88" s="1"/>
      <c r="G88" s="1"/>
      <c r="H88" s="1"/>
      <c r="I88" s="1"/>
      <c r="J88" s="1"/>
      <c r="K88" s="1"/>
      <c r="L88" s="1"/>
      <c r="M88" s="1"/>
      <c r="N88" s="2"/>
      <c r="O88" s="1"/>
      <c r="P88" s="1"/>
      <c r="Q88" s="1"/>
      <c r="R88" s="1"/>
      <c r="S88" s="1"/>
      <c r="T88" s="1"/>
      <c r="U88" s="1"/>
    </row>
    <row r="89" spans="1:21" ht="25" x14ac:dyDescent="0.25">
      <c r="A89" s="16"/>
      <c r="B89" s="11"/>
      <c r="C89" s="14"/>
      <c r="D89" s="3" t="s">
        <v>5</v>
      </c>
      <c r="E89" s="21"/>
      <c r="F89" s="4"/>
      <c r="G89" s="4"/>
      <c r="H89" s="4"/>
      <c r="I89" s="4"/>
      <c r="J89" s="4"/>
      <c r="K89" s="4"/>
      <c r="L89" s="4"/>
      <c r="M89" s="4"/>
      <c r="N89" s="5"/>
      <c r="O89" s="4"/>
      <c r="P89" s="4"/>
      <c r="Q89" s="4"/>
      <c r="R89" s="4"/>
      <c r="S89" s="4"/>
      <c r="T89" s="4"/>
      <c r="U89" s="4"/>
    </row>
    <row r="90" spans="1:21" ht="24" x14ac:dyDescent="0.25">
      <c r="A90" s="16"/>
      <c r="B90" s="11"/>
      <c r="C90" s="15" t="s">
        <v>6</v>
      </c>
      <c r="D90" s="15"/>
      <c r="E90" s="21"/>
      <c r="F90" s="1"/>
      <c r="G90" s="1"/>
      <c r="H90" s="1"/>
      <c r="I90" s="1"/>
      <c r="J90" s="1"/>
      <c r="K90" s="1"/>
      <c r="L90" s="10"/>
      <c r="M90" s="10"/>
      <c r="N90" s="10"/>
      <c r="O90" s="1"/>
      <c r="P90" s="1"/>
      <c r="Q90" s="1"/>
      <c r="R90" s="1"/>
      <c r="S90" s="1"/>
      <c r="T90" s="1"/>
      <c r="U90" s="1"/>
    </row>
    <row r="91" spans="1:21" ht="24" x14ac:dyDescent="0.25">
      <c r="A91" s="16"/>
      <c r="B91" s="11" t="s">
        <v>12</v>
      </c>
      <c r="C91" s="12" t="s">
        <v>1</v>
      </c>
      <c r="D91" s="12"/>
      <c r="E91" s="21">
        <v>9</v>
      </c>
      <c r="F91" s="1">
        <v>19</v>
      </c>
      <c r="G91" s="1">
        <v>29</v>
      </c>
      <c r="H91" s="1">
        <v>38</v>
      </c>
      <c r="I91" s="1">
        <v>46</v>
      </c>
      <c r="J91" s="1">
        <v>56</v>
      </c>
      <c r="K91" s="1">
        <v>67</v>
      </c>
      <c r="L91" s="1">
        <v>83</v>
      </c>
      <c r="M91" s="1">
        <v>99</v>
      </c>
      <c r="N91" s="1">
        <v>114</v>
      </c>
      <c r="O91" s="2">
        <v>255</v>
      </c>
      <c r="P91" s="2">
        <v>256</v>
      </c>
      <c r="Q91" s="2">
        <v>257</v>
      </c>
      <c r="R91" s="2" t="s">
        <v>16</v>
      </c>
      <c r="S91" s="1"/>
      <c r="T91" s="1"/>
      <c r="U91" s="2"/>
    </row>
    <row r="92" spans="1:21" ht="24" x14ac:dyDescent="0.25">
      <c r="A92" s="16"/>
      <c r="B92" s="11"/>
      <c r="C92" s="13" t="s">
        <v>2</v>
      </c>
      <c r="D92" s="13"/>
      <c r="E92" s="21"/>
      <c r="F92" s="1">
        <f>F91-E91</f>
        <v>10</v>
      </c>
      <c r="G92" s="1">
        <f t="shared" ref="G92:O92" si="21">G91-F91</f>
        <v>10</v>
      </c>
      <c r="H92" s="1">
        <f t="shared" si="21"/>
        <v>9</v>
      </c>
      <c r="I92" s="1">
        <f t="shared" si="21"/>
        <v>8</v>
      </c>
      <c r="J92" s="1">
        <f t="shared" si="21"/>
        <v>10</v>
      </c>
      <c r="K92" s="1">
        <f t="shared" si="21"/>
        <v>11</v>
      </c>
      <c r="L92" s="1">
        <f t="shared" si="21"/>
        <v>16</v>
      </c>
      <c r="M92" s="1">
        <f t="shared" si="21"/>
        <v>16</v>
      </c>
      <c r="N92" s="1">
        <f t="shared" si="21"/>
        <v>15</v>
      </c>
      <c r="O92" s="1">
        <f t="shared" si="21"/>
        <v>141</v>
      </c>
      <c r="P92" s="1"/>
      <c r="Q92" s="1"/>
      <c r="R92" s="1"/>
      <c r="S92" s="1"/>
      <c r="T92" s="1"/>
      <c r="U92" s="2"/>
    </row>
    <row r="93" spans="1:21" ht="25" x14ac:dyDescent="0.25">
      <c r="A93" s="16"/>
      <c r="B93" s="11"/>
      <c r="C93" s="14" t="s">
        <v>3</v>
      </c>
      <c r="D93" s="3" t="s">
        <v>4</v>
      </c>
      <c r="E93" s="21"/>
      <c r="F93" s="1">
        <f>F92*10</f>
        <v>100</v>
      </c>
      <c r="G93" s="1">
        <f t="shared" ref="G93:O93" si="22">G92*10</f>
        <v>100</v>
      </c>
      <c r="H93" s="1">
        <f t="shared" si="22"/>
        <v>90</v>
      </c>
      <c r="I93" s="1">
        <f t="shared" si="22"/>
        <v>80</v>
      </c>
      <c r="J93" s="1">
        <f t="shared" si="22"/>
        <v>100</v>
      </c>
      <c r="K93" s="1">
        <f t="shared" si="22"/>
        <v>110</v>
      </c>
      <c r="L93" s="1">
        <f t="shared" si="22"/>
        <v>160</v>
      </c>
      <c r="M93" s="1">
        <f t="shared" si="22"/>
        <v>160</v>
      </c>
      <c r="N93" s="1">
        <f t="shared" si="22"/>
        <v>150</v>
      </c>
      <c r="O93" s="1">
        <f t="shared" si="22"/>
        <v>1410</v>
      </c>
      <c r="P93" s="1"/>
      <c r="Q93" s="1"/>
      <c r="R93" s="1"/>
      <c r="S93" s="1"/>
      <c r="T93" s="1"/>
      <c r="U93" s="2"/>
    </row>
    <row r="94" spans="1:21" ht="25" x14ac:dyDescent="0.25">
      <c r="A94" s="16"/>
      <c r="B94" s="11"/>
      <c r="C94" s="14"/>
      <c r="D94" s="3" t="s">
        <v>5</v>
      </c>
      <c r="E94" s="21"/>
      <c r="F94" s="4">
        <f>F93/60</f>
        <v>1.6666666666666667</v>
      </c>
      <c r="G94" s="4">
        <f t="shared" ref="G94:O94" si="23">G93/60</f>
        <v>1.6666666666666667</v>
      </c>
      <c r="H94" s="4">
        <f t="shared" si="23"/>
        <v>1.5</v>
      </c>
      <c r="I94" s="4">
        <f t="shared" si="23"/>
        <v>1.3333333333333333</v>
      </c>
      <c r="J94" s="4">
        <f t="shared" si="23"/>
        <v>1.6666666666666667</v>
      </c>
      <c r="K94" s="4">
        <f t="shared" si="23"/>
        <v>1.8333333333333333</v>
      </c>
      <c r="L94" s="4">
        <f t="shared" si="23"/>
        <v>2.6666666666666665</v>
      </c>
      <c r="M94" s="4">
        <f t="shared" si="23"/>
        <v>2.6666666666666665</v>
      </c>
      <c r="N94" s="4">
        <f t="shared" si="23"/>
        <v>2.5</v>
      </c>
      <c r="O94" s="4">
        <f t="shared" si="23"/>
        <v>23.5</v>
      </c>
      <c r="P94" s="4"/>
      <c r="Q94" s="4"/>
      <c r="R94" s="4"/>
      <c r="S94" s="4"/>
      <c r="T94" s="4"/>
      <c r="U94" s="5"/>
    </row>
    <row r="95" spans="1:21" ht="24" x14ac:dyDescent="0.25">
      <c r="A95" s="16"/>
      <c r="B95" s="11"/>
      <c r="C95" s="15" t="s">
        <v>6</v>
      </c>
      <c r="D95" s="15"/>
      <c r="E95" s="21"/>
      <c r="F95" s="1"/>
      <c r="G95" s="1"/>
      <c r="H95" s="1"/>
      <c r="I95" s="1"/>
      <c r="J95" s="1"/>
      <c r="K95" s="1"/>
      <c r="L95" s="1"/>
      <c r="M95" s="10"/>
      <c r="N95" s="10"/>
      <c r="O95" s="10"/>
      <c r="P95" s="1"/>
      <c r="Q95" s="1"/>
      <c r="R95" s="1"/>
      <c r="S95" s="1"/>
      <c r="T95" s="1"/>
      <c r="U95" s="2"/>
    </row>
    <row r="97" spans="1:23" ht="24" x14ac:dyDescent="0.25">
      <c r="A97" s="16" t="s">
        <v>20</v>
      </c>
      <c r="B97" s="11" t="s">
        <v>0</v>
      </c>
      <c r="C97" s="12" t="s">
        <v>1</v>
      </c>
      <c r="D97" s="12"/>
      <c r="E97" s="21">
        <v>2</v>
      </c>
      <c r="F97" s="1">
        <v>12</v>
      </c>
      <c r="G97" s="1">
        <v>20</v>
      </c>
      <c r="H97" s="1">
        <v>30</v>
      </c>
      <c r="I97" s="1">
        <v>38</v>
      </c>
      <c r="J97" s="1">
        <v>47</v>
      </c>
      <c r="K97" s="1">
        <v>57</v>
      </c>
      <c r="L97" s="1">
        <v>67</v>
      </c>
      <c r="M97" s="1">
        <v>77</v>
      </c>
      <c r="N97" s="2">
        <v>92</v>
      </c>
      <c r="O97" s="2">
        <v>103</v>
      </c>
      <c r="P97" s="2">
        <v>117</v>
      </c>
      <c r="Q97" s="1">
        <v>152</v>
      </c>
      <c r="R97" s="2">
        <v>489</v>
      </c>
      <c r="S97" s="2">
        <v>490</v>
      </c>
      <c r="T97" s="2">
        <v>491</v>
      </c>
      <c r="U97" s="2" t="s">
        <v>16</v>
      </c>
    </row>
    <row r="98" spans="1:23" ht="24" x14ac:dyDescent="0.25">
      <c r="A98" s="16"/>
      <c r="B98" s="11"/>
      <c r="C98" s="13" t="s">
        <v>2</v>
      </c>
      <c r="D98" s="13"/>
      <c r="E98" s="2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</row>
    <row r="99" spans="1:23" ht="25" x14ac:dyDescent="0.25">
      <c r="A99" s="16"/>
      <c r="B99" s="11"/>
      <c r="C99" s="14" t="s">
        <v>3</v>
      </c>
      <c r="D99" s="3" t="s">
        <v>4</v>
      </c>
      <c r="E99" s="2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</row>
    <row r="100" spans="1:23" ht="25" x14ac:dyDescent="0.25">
      <c r="A100" s="16"/>
      <c r="B100" s="11"/>
      <c r="C100" s="14"/>
      <c r="D100" s="3" t="s">
        <v>5</v>
      </c>
      <c r="E100" s="21"/>
      <c r="F100" s="4"/>
      <c r="G100" s="4"/>
      <c r="H100" s="4"/>
      <c r="I100" s="4"/>
      <c r="J100" s="4"/>
      <c r="K100" s="4"/>
      <c r="L100" s="5"/>
      <c r="M100" s="4"/>
      <c r="N100" s="4"/>
      <c r="O100" s="4"/>
      <c r="P100" s="4"/>
      <c r="Q100" s="4"/>
      <c r="R100" s="4"/>
      <c r="S100" s="4"/>
      <c r="T100" s="4"/>
      <c r="U100" s="4"/>
    </row>
    <row r="101" spans="1:23" ht="24" x14ac:dyDescent="0.25">
      <c r="A101" s="16"/>
      <c r="B101" s="11"/>
      <c r="C101" s="15" t="s">
        <v>6</v>
      </c>
      <c r="D101" s="15"/>
      <c r="E101" s="21"/>
      <c r="F101" s="1"/>
      <c r="G101" s="1"/>
      <c r="H101" s="1"/>
      <c r="I101" s="10"/>
      <c r="J101" s="10"/>
      <c r="K101" s="10"/>
      <c r="L101" s="10"/>
      <c r="M101" s="10"/>
      <c r="N101" s="1"/>
      <c r="O101" s="1"/>
      <c r="P101" s="1"/>
      <c r="Q101" s="1"/>
      <c r="R101" s="1"/>
      <c r="S101" s="1"/>
      <c r="T101" s="1"/>
      <c r="U101" s="1"/>
    </row>
    <row r="102" spans="1:23" ht="24" x14ac:dyDescent="0.25">
      <c r="A102" s="16"/>
      <c r="B102" s="11" t="s">
        <v>7</v>
      </c>
      <c r="C102" s="12" t="s">
        <v>1</v>
      </c>
      <c r="D102" s="12"/>
      <c r="E102" s="21">
        <v>2</v>
      </c>
      <c r="F102" s="1">
        <v>11</v>
      </c>
      <c r="G102" s="1">
        <v>20</v>
      </c>
      <c r="H102" s="1">
        <v>32</v>
      </c>
      <c r="I102" s="1">
        <v>43</v>
      </c>
      <c r="J102" s="1">
        <v>57</v>
      </c>
      <c r="K102" s="1">
        <v>69</v>
      </c>
      <c r="L102" s="2">
        <v>85</v>
      </c>
      <c r="M102" s="2">
        <v>98</v>
      </c>
      <c r="N102" s="2">
        <v>111</v>
      </c>
      <c r="O102" s="2">
        <v>124</v>
      </c>
      <c r="P102" s="1">
        <v>151</v>
      </c>
      <c r="Q102" s="2">
        <v>334</v>
      </c>
      <c r="R102" s="2">
        <v>335</v>
      </c>
      <c r="S102" s="2">
        <v>336</v>
      </c>
      <c r="T102" s="2" t="s">
        <v>16</v>
      </c>
      <c r="U102" s="18"/>
      <c r="V102" s="19"/>
      <c r="W102" s="19"/>
    </row>
    <row r="103" spans="1:23" ht="24" x14ac:dyDescent="0.25">
      <c r="A103" s="16"/>
      <c r="B103" s="11"/>
      <c r="C103" s="13" t="s">
        <v>2</v>
      </c>
      <c r="D103" s="13"/>
      <c r="E103" s="2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</row>
    <row r="104" spans="1:23" ht="25" x14ac:dyDescent="0.25">
      <c r="A104" s="16"/>
      <c r="B104" s="11"/>
      <c r="C104" s="14" t="s">
        <v>3</v>
      </c>
      <c r="D104" s="3" t="s">
        <v>4</v>
      </c>
      <c r="E104" s="2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</row>
    <row r="105" spans="1:23" ht="25" x14ac:dyDescent="0.25">
      <c r="A105" s="16"/>
      <c r="B105" s="11"/>
      <c r="C105" s="14"/>
      <c r="D105" s="3" t="s">
        <v>5</v>
      </c>
      <c r="E105" s="21"/>
      <c r="F105" s="4"/>
      <c r="G105" s="4"/>
      <c r="H105" s="4"/>
      <c r="I105" s="4"/>
      <c r="J105" s="4"/>
      <c r="K105" s="4"/>
      <c r="L105" s="5"/>
      <c r="M105" s="4"/>
      <c r="N105" s="4"/>
      <c r="O105" s="4"/>
      <c r="P105" s="4"/>
      <c r="Q105" s="4"/>
      <c r="R105" s="4"/>
      <c r="S105" s="4"/>
      <c r="T105" s="4"/>
      <c r="U105" s="4"/>
    </row>
    <row r="106" spans="1:23" ht="24" x14ac:dyDescent="0.25">
      <c r="A106" s="16"/>
      <c r="B106" s="11"/>
      <c r="C106" s="15" t="s">
        <v>6</v>
      </c>
      <c r="D106" s="15"/>
      <c r="E106" s="21"/>
      <c r="F106" s="1"/>
      <c r="G106" s="1"/>
      <c r="H106" s="1"/>
      <c r="I106" s="10"/>
      <c r="J106" s="10"/>
      <c r="K106" s="10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3" ht="24" x14ac:dyDescent="0.25">
      <c r="A107" s="16"/>
      <c r="B107" s="11" t="s">
        <v>8</v>
      </c>
      <c r="C107" s="12" t="s">
        <v>1</v>
      </c>
      <c r="D107" s="12"/>
      <c r="E107" s="21">
        <v>6</v>
      </c>
      <c r="F107" s="1">
        <v>18</v>
      </c>
      <c r="G107" s="1">
        <v>30</v>
      </c>
      <c r="H107" s="1">
        <v>42</v>
      </c>
      <c r="I107" s="1">
        <v>55</v>
      </c>
      <c r="J107" s="1">
        <v>68</v>
      </c>
      <c r="K107" s="1">
        <v>80</v>
      </c>
      <c r="L107" s="1">
        <v>97</v>
      </c>
      <c r="M107" s="2">
        <v>105</v>
      </c>
      <c r="N107" s="2">
        <v>115</v>
      </c>
      <c r="O107" s="2">
        <v>127</v>
      </c>
      <c r="P107" s="1">
        <v>191</v>
      </c>
      <c r="Q107" s="1">
        <v>274</v>
      </c>
      <c r="R107" s="1">
        <v>275</v>
      </c>
      <c r="S107" s="1">
        <v>276</v>
      </c>
      <c r="T107" s="1" t="s">
        <v>16</v>
      </c>
      <c r="U107" s="1"/>
    </row>
    <row r="108" spans="1:23" ht="24" x14ac:dyDescent="0.25">
      <c r="A108" s="16"/>
      <c r="B108" s="11"/>
      <c r="C108" s="13" t="s">
        <v>2</v>
      </c>
      <c r="D108" s="13"/>
      <c r="E108" s="21"/>
      <c r="F108" s="1"/>
      <c r="G108" s="1"/>
      <c r="H108" s="1"/>
      <c r="I108" s="1"/>
      <c r="J108" s="1"/>
      <c r="K108" s="1"/>
      <c r="L108" s="1"/>
      <c r="M108" s="2"/>
      <c r="N108" s="1"/>
      <c r="O108" s="1"/>
      <c r="P108" s="1"/>
      <c r="Q108" s="1"/>
      <c r="R108" s="1"/>
      <c r="S108" s="1"/>
      <c r="T108" s="1"/>
      <c r="U108" s="1"/>
    </row>
    <row r="109" spans="1:23" ht="25" x14ac:dyDescent="0.25">
      <c r="A109" s="16"/>
      <c r="B109" s="11"/>
      <c r="C109" s="14" t="s">
        <v>3</v>
      </c>
      <c r="D109" s="3" t="s">
        <v>4</v>
      </c>
      <c r="E109" s="21"/>
      <c r="F109" s="1"/>
      <c r="G109" s="1"/>
      <c r="H109" s="1"/>
      <c r="I109" s="1"/>
      <c r="J109" s="1"/>
      <c r="K109" s="1"/>
      <c r="L109" s="1"/>
      <c r="M109" s="2"/>
      <c r="N109" s="1"/>
      <c r="O109" s="1"/>
      <c r="P109" s="1"/>
      <c r="Q109" s="1"/>
      <c r="R109" s="1"/>
      <c r="S109" s="1"/>
      <c r="T109" s="1"/>
      <c r="U109" s="1"/>
    </row>
    <row r="110" spans="1:23" ht="25" x14ac:dyDescent="0.25">
      <c r="A110" s="16"/>
      <c r="B110" s="11"/>
      <c r="C110" s="14"/>
      <c r="D110" s="3" t="s">
        <v>5</v>
      </c>
      <c r="E110" s="21"/>
      <c r="F110" s="4"/>
      <c r="G110" s="4"/>
      <c r="H110" s="4"/>
      <c r="I110" s="4"/>
      <c r="J110" s="4"/>
      <c r="K110" s="4"/>
      <c r="L110" s="4"/>
      <c r="M110" s="5"/>
      <c r="N110" s="4"/>
      <c r="O110" s="4"/>
      <c r="P110" s="4"/>
      <c r="Q110" s="4"/>
      <c r="R110" s="4"/>
      <c r="S110" s="4"/>
      <c r="T110" s="4"/>
      <c r="U110" s="4"/>
    </row>
    <row r="111" spans="1:23" ht="24" x14ac:dyDescent="0.25">
      <c r="A111" s="16"/>
      <c r="B111" s="11"/>
      <c r="C111" s="15" t="s">
        <v>6</v>
      </c>
      <c r="D111" s="15"/>
      <c r="E111" s="21"/>
      <c r="F111" s="1"/>
      <c r="G111" s="1"/>
      <c r="H111" s="1"/>
      <c r="I111" s="1"/>
      <c r="J111" s="10"/>
      <c r="K111" s="10"/>
      <c r="L111" s="10"/>
      <c r="M111" s="10"/>
      <c r="N111" s="1"/>
      <c r="O111" s="1"/>
      <c r="P111" s="1"/>
      <c r="Q111" s="1"/>
      <c r="R111" s="1"/>
      <c r="S111" s="1"/>
      <c r="T111" s="1"/>
      <c r="U111" s="1"/>
    </row>
    <row r="112" spans="1:23" ht="24" x14ac:dyDescent="0.25">
      <c r="A112" s="16"/>
      <c r="B112" s="11" t="s">
        <v>9</v>
      </c>
      <c r="C112" s="12" t="s">
        <v>1</v>
      </c>
      <c r="D112" s="12"/>
      <c r="E112" s="21">
        <v>6</v>
      </c>
      <c r="F112" s="1">
        <v>19</v>
      </c>
      <c r="G112" s="1">
        <v>29</v>
      </c>
      <c r="H112" s="1">
        <v>40</v>
      </c>
      <c r="I112" s="1">
        <v>50</v>
      </c>
      <c r="J112" s="1">
        <v>60</v>
      </c>
      <c r="K112" s="1">
        <v>72</v>
      </c>
      <c r="L112" s="1">
        <v>83</v>
      </c>
      <c r="M112" s="1">
        <v>100</v>
      </c>
      <c r="N112" s="1">
        <v>114</v>
      </c>
      <c r="O112" s="1">
        <v>156</v>
      </c>
      <c r="P112" s="2">
        <v>393</v>
      </c>
      <c r="Q112" s="2">
        <v>394</v>
      </c>
      <c r="R112" s="2">
        <v>395</v>
      </c>
      <c r="S112" s="2" t="s">
        <v>16</v>
      </c>
      <c r="T112" s="2"/>
      <c r="U112" s="2"/>
    </row>
    <row r="113" spans="1:24" ht="24" x14ac:dyDescent="0.25">
      <c r="A113" s="16"/>
      <c r="B113" s="11"/>
      <c r="C113" s="13" t="s">
        <v>2</v>
      </c>
      <c r="D113" s="13"/>
      <c r="E113" s="2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2"/>
      <c r="S113" s="1"/>
      <c r="T113" s="1"/>
      <c r="U113" s="2"/>
    </row>
    <row r="114" spans="1:24" ht="25" x14ac:dyDescent="0.25">
      <c r="A114" s="16"/>
      <c r="B114" s="11"/>
      <c r="C114" s="14" t="s">
        <v>3</v>
      </c>
      <c r="D114" s="3" t="s">
        <v>4</v>
      </c>
      <c r="E114" s="2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2"/>
      <c r="S114" s="1"/>
      <c r="T114" s="1"/>
      <c r="U114" s="2"/>
    </row>
    <row r="115" spans="1:24" ht="25" x14ac:dyDescent="0.25">
      <c r="A115" s="16"/>
      <c r="B115" s="11"/>
      <c r="C115" s="14"/>
      <c r="D115" s="3" t="s">
        <v>5</v>
      </c>
      <c r="E115" s="21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5"/>
      <c r="S115" s="4"/>
      <c r="T115" s="4"/>
      <c r="U115" s="5"/>
    </row>
    <row r="116" spans="1:24" ht="24" x14ac:dyDescent="0.25">
      <c r="A116" s="16"/>
      <c r="B116" s="11"/>
      <c r="C116" s="15" t="s">
        <v>6</v>
      </c>
      <c r="D116" s="15"/>
      <c r="E116" s="21"/>
      <c r="F116" s="1"/>
      <c r="G116" s="1"/>
      <c r="H116" s="1"/>
      <c r="I116" s="1"/>
      <c r="J116" s="1"/>
      <c r="K116" s="1"/>
      <c r="L116" s="1"/>
      <c r="M116" s="1"/>
      <c r="N116" s="10"/>
      <c r="O116" s="10"/>
      <c r="P116" s="10"/>
      <c r="Q116" s="10"/>
      <c r="R116" s="10"/>
      <c r="S116" s="1"/>
      <c r="T116" s="1"/>
      <c r="U116" s="2"/>
    </row>
    <row r="117" spans="1:24" ht="24" x14ac:dyDescent="0.25">
      <c r="A117" s="16"/>
      <c r="B117" s="11" t="s">
        <v>10</v>
      </c>
      <c r="C117" s="12" t="s">
        <v>1</v>
      </c>
      <c r="D117" s="12"/>
      <c r="E117" s="21">
        <v>32</v>
      </c>
      <c r="F117" s="1">
        <v>40</v>
      </c>
      <c r="G117" s="1">
        <v>54</v>
      </c>
      <c r="H117" s="1">
        <v>63</v>
      </c>
      <c r="I117" s="1">
        <v>76</v>
      </c>
      <c r="J117" s="1">
        <v>84</v>
      </c>
      <c r="K117" s="1">
        <v>93</v>
      </c>
      <c r="L117" s="1">
        <v>108</v>
      </c>
      <c r="M117" s="1">
        <v>125</v>
      </c>
      <c r="N117" s="1">
        <v>136</v>
      </c>
      <c r="O117" s="1">
        <v>166</v>
      </c>
      <c r="P117" s="1">
        <v>314</v>
      </c>
      <c r="Q117" s="2">
        <v>315</v>
      </c>
      <c r="R117" s="2">
        <v>316</v>
      </c>
      <c r="S117" s="2" t="s">
        <v>16</v>
      </c>
      <c r="T117" s="1"/>
      <c r="U117" s="1"/>
    </row>
    <row r="118" spans="1:24" ht="24" x14ac:dyDescent="0.25">
      <c r="A118" s="16"/>
      <c r="B118" s="11"/>
      <c r="C118" s="13" t="s">
        <v>2</v>
      </c>
      <c r="D118" s="13"/>
      <c r="E118" s="2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1"/>
      <c r="S118" s="1"/>
      <c r="T118" s="1"/>
      <c r="U118" s="1"/>
    </row>
    <row r="119" spans="1:24" ht="25" x14ac:dyDescent="0.25">
      <c r="A119" s="16"/>
      <c r="B119" s="11"/>
      <c r="C119" s="14" t="s">
        <v>3</v>
      </c>
      <c r="D119" s="3" t="s">
        <v>4</v>
      </c>
      <c r="E119" s="2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1"/>
      <c r="S119" s="1"/>
      <c r="T119" s="1"/>
      <c r="U119" s="1"/>
    </row>
    <row r="120" spans="1:24" ht="25" x14ac:dyDescent="0.25">
      <c r="A120" s="16"/>
      <c r="B120" s="11"/>
      <c r="C120" s="14"/>
      <c r="D120" s="3" t="s">
        <v>5</v>
      </c>
      <c r="E120" s="2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5"/>
      <c r="Q120" s="4"/>
      <c r="R120" s="4"/>
      <c r="S120" s="4"/>
      <c r="T120" s="4"/>
      <c r="U120" s="4"/>
    </row>
    <row r="121" spans="1:24" ht="24" x14ac:dyDescent="0.25">
      <c r="A121" s="16"/>
      <c r="B121" s="11"/>
      <c r="C121" s="15" t="s">
        <v>6</v>
      </c>
      <c r="D121" s="15"/>
      <c r="E121" s="21"/>
      <c r="F121" s="1"/>
      <c r="G121" s="1"/>
      <c r="H121" s="1"/>
      <c r="I121" s="1"/>
      <c r="J121" s="1"/>
      <c r="K121" s="1"/>
      <c r="L121" s="1"/>
      <c r="M121" s="10"/>
      <c r="N121" s="10"/>
      <c r="O121" s="10"/>
      <c r="P121" s="10"/>
      <c r="Q121" s="1"/>
      <c r="R121" s="1"/>
      <c r="S121" s="1"/>
      <c r="T121" s="1"/>
      <c r="U121" s="1"/>
    </row>
    <row r="122" spans="1:24" ht="35" customHeight="1" x14ac:dyDescent="0.25">
      <c r="A122" s="16"/>
      <c r="B122" s="11" t="s">
        <v>11</v>
      </c>
      <c r="C122" s="12" t="s">
        <v>1</v>
      </c>
      <c r="D122" s="12"/>
      <c r="E122" s="21">
        <v>33</v>
      </c>
      <c r="F122" s="1">
        <v>44</v>
      </c>
      <c r="G122" s="1">
        <v>56</v>
      </c>
      <c r="H122" s="1">
        <v>65</v>
      </c>
      <c r="I122" s="1">
        <v>74</v>
      </c>
      <c r="J122" s="1">
        <v>85</v>
      </c>
      <c r="K122" s="1">
        <v>100</v>
      </c>
      <c r="L122" s="1">
        <v>118</v>
      </c>
      <c r="M122" s="1">
        <v>129</v>
      </c>
      <c r="N122" s="2">
        <v>146</v>
      </c>
      <c r="O122" s="2">
        <v>155</v>
      </c>
      <c r="P122" s="1">
        <v>170</v>
      </c>
      <c r="Q122" s="2">
        <v>183</v>
      </c>
      <c r="R122" s="2">
        <v>193</v>
      </c>
      <c r="S122" s="2">
        <v>200</v>
      </c>
      <c r="T122" s="2">
        <v>213</v>
      </c>
      <c r="U122" s="1">
        <v>225</v>
      </c>
      <c r="V122" s="2">
        <v>239</v>
      </c>
      <c r="W122" t="s">
        <v>21</v>
      </c>
      <c r="X122" s="17" t="s">
        <v>22</v>
      </c>
    </row>
    <row r="123" spans="1:24" ht="24" x14ac:dyDescent="0.25">
      <c r="A123" s="16"/>
      <c r="B123" s="11"/>
      <c r="C123" s="13" t="s">
        <v>2</v>
      </c>
      <c r="D123" s="13"/>
      <c r="E123" s="21"/>
      <c r="F123" s="1"/>
      <c r="G123" s="1"/>
      <c r="H123" s="1"/>
      <c r="I123" s="1"/>
      <c r="J123" s="1"/>
      <c r="K123" s="1"/>
      <c r="L123" s="1"/>
      <c r="M123" s="1"/>
      <c r="N123" s="2"/>
      <c r="O123" s="1"/>
      <c r="P123" s="1"/>
      <c r="Q123" s="1"/>
      <c r="R123" s="1"/>
      <c r="S123" s="1"/>
      <c r="T123" s="1"/>
      <c r="U123" s="1"/>
    </row>
    <row r="124" spans="1:24" ht="25" x14ac:dyDescent="0.25">
      <c r="A124" s="16"/>
      <c r="B124" s="11"/>
      <c r="C124" s="14" t="s">
        <v>3</v>
      </c>
      <c r="D124" s="3" t="s">
        <v>4</v>
      </c>
      <c r="E124" s="21"/>
      <c r="F124" s="1"/>
      <c r="G124" s="1"/>
      <c r="H124" s="1"/>
      <c r="I124" s="1"/>
      <c r="J124" s="1"/>
      <c r="K124" s="1"/>
      <c r="L124" s="1"/>
      <c r="M124" s="1"/>
      <c r="N124" s="2"/>
      <c r="O124" s="1"/>
      <c r="P124" s="1"/>
      <c r="Q124" s="1"/>
      <c r="R124" s="1"/>
      <c r="S124" s="1"/>
      <c r="T124" s="1"/>
      <c r="U124" s="1"/>
    </row>
    <row r="125" spans="1:24" ht="25" x14ac:dyDescent="0.25">
      <c r="A125" s="16"/>
      <c r="B125" s="11"/>
      <c r="C125" s="14"/>
      <c r="D125" s="3" t="s">
        <v>5</v>
      </c>
      <c r="E125" s="21"/>
      <c r="F125" s="4"/>
      <c r="G125" s="4"/>
      <c r="H125" s="4"/>
      <c r="I125" s="4"/>
      <c r="J125" s="4"/>
      <c r="K125" s="4"/>
      <c r="L125" s="4"/>
      <c r="M125" s="4"/>
      <c r="N125" s="5"/>
      <c r="O125" s="4"/>
      <c r="P125" s="4"/>
      <c r="Q125" s="4"/>
      <c r="R125" s="4"/>
      <c r="S125" s="4"/>
      <c r="T125" s="4"/>
      <c r="U125" s="4"/>
    </row>
    <row r="126" spans="1:24" ht="24" x14ac:dyDescent="0.25">
      <c r="A126" s="16"/>
      <c r="B126" s="11"/>
      <c r="C126" s="15" t="s">
        <v>6</v>
      </c>
      <c r="D126" s="15"/>
      <c r="E126" s="21"/>
      <c r="F126" s="1"/>
      <c r="G126" s="1"/>
      <c r="H126" s="1"/>
      <c r="I126" s="1"/>
      <c r="J126" s="1"/>
      <c r="K126" s="1"/>
      <c r="L126" s="10"/>
      <c r="M126" s="10"/>
      <c r="N126" s="10"/>
      <c r="O126" s="1"/>
      <c r="P126" s="1"/>
      <c r="Q126" s="1"/>
      <c r="R126" s="1"/>
      <c r="S126" s="1"/>
      <c r="T126" s="1"/>
      <c r="U126" s="1"/>
    </row>
    <row r="128" spans="1:24" ht="24" x14ac:dyDescent="0.25">
      <c r="A128" s="16" t="s">
        <v>23</v>
      </c>
      <c r="B128" s="11" t="s">
        <v>0</v>
      </c>
      <c r="C128" s="12" t="s">
        <v>1</v>
      </c>
      <c r="D128" s="12"/>
      <c r="E128" s="22" t="s">
        <v>24</v>
      </c>
      <c r="F128" s="1">
        <v>65</v>
      </c>
      <c r="G128" s="1">
        <v>77</v>
      </c>
      <c r="H128" s="1">
        <v>89</v>
      </c>
      <c r="I128" s="1">
        <v>105</v>
      </c>
      <c r="J128" s="1">
        <v>119</v>
      </c>
      <c r="K128" s="1">
        <v>149</v>
      </c>
      <c r="L128" s="1">
        <v>458</v>
      </c>
      <c r="M128" s="1">
        <v>459</v>
      </c>
      <c r="N128" s="1">
        <v>460</v>
      </c>
      <c r="O128" s="2" t="s">
        <v>16</v>
      </c>
      <c r="P128" s="2"/>
      <c r="Q128" s="1"/>
      <c r="R128" s="2"/>
      <c r="S128" s="2"/>
      <c r="T128" s="2"/>
      <c r="U128" s="2"/>
    </row>
    <row r="129" spans="1:23" ht="24" x14ac:dyDescent="0.25">
      <c r="A129" s="16"/>
      <c r="B129" s="11"/>
      <c r="C129" s="13" t="s">
        <v>2</v>
      </c>
      <c r="D129" s="13"/>
      <c r="E129" s="22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</row>
    <row r="130" spans="1:23" ht="25" x14ac:dyDescent="0.25">
      <c r="A130" s="16"/>
      <c r="B130" s="11"/>
      <c r="C130" s="14" t="s">
        <v>3</v>
      </c>
      <c r="D130" s="3" t="s">
        <v>4</v>
      </c>
      <c r="E130" s="22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</row>
    <row r="131" spans="1:23" ht="25" x14ac:dyDescent="0.25">
      <c r="A131" s="16"/>
      <c r="B131" s="11"/>
      <c r="C131" s="14"/>
      <c r="D131" s="3" t="s">
        <v>5</v>
      </c>
      <c r="E131" s="22"/>
      <c r="F131" s="4"/>
      <c r="G131" s="4"/>
      <c r="H131" s="4"/>
      <c r="I131" s="4"/>
      <c r="J131" s="4"/>
      <c r="K131" s="4"/>
      <c r="L131" s="5"/>
      <c r="M131" s="4"/>
      <c r="N131" s="4"/>
      <c r="O131" s="4"/>
      <c r="P131" s="4"/>
      <c r="Q131" s="4"/>
      <c r="R131" s="4"/>
      <c r="S131" s="4"/>
      <c r="T131" s="4"/>
      <c r="U131" s="4"/>
    </row>
    <row r="132" spans="1:23" ht="24" x14ac:dyDescent="0.25">
      <c r="A132" s="16"/>
      <c r="B132" s="11"/>
      <c r="C132" s="15" t="s">
        <v>6</v>
      </c>
      <c r="D132" s="15"/>
      <c r="E132" s="22"/>
      <c r="F132" s="1"/>
      <c r="G132" s="1"/>
      <c r="H132" s="1"/>
      <c r="I132" s="10"/>
      <c r="J132" s="10"/>
      <c r="K132" s="10"/>
      <c r="L132" s="10"/>
      <c r="M132" s="10"/>
      <c r="N132" s="1"/>
      <c r="O132" s="1"/>
      <c r="P132" s="1"/>
      <c r="Q132" s="1"/>
      <c r="R132" s="1"/>
      <c r="S132" s="1"/>
      <c r="T132" s="1"/>
      <c r="U132" s="1"/>
    </row>
    <row r="133" spans="1:23" ht="24" x14ac:dyDescent="0.25">
      <c r="A133" s="16"/>
      <c r="B133" s="11" t="s">
        <v>7</v>
      </c>
      <c r="C133" s="12" t="s">
        <v>1</v>
      </c>
      <c r="D133" s="12"/>
      <c r="E133" s="21">
        <v>32</v>
      </c>
      <c r="F133" s="1">
        <v>45</v>
      </c>
      <c r="G133" s="1">
        <v>56</v>
      </c>
      <c r="H133" s="1">
        <v>67</v>
      </c>
      <c r="I133" s="1">
        <v>78</v>
      </c>
      <c r="J133" s="1">
        <v>101</v>
      </c>
      <c r="K133" s="1">
        <v>112</v>
      </c>
      <c r="L133" s="2">
        <v>125</v>
      </c>
      <c r="M133" s="2">
        <v>134</v>
      </c>
      <c r="N133" s="2">
        <v>135</v>
      </c>
      <c r="O133" s="2">
        <v>136</v>
      </c>
      <c r="P133" s="1" t="s">
        <v>16</v>
      </c>
      <c r="Q133" s="2"/>
      <c r="R133" s="2"/>
      <c r="S133" s="2"/>
      <c r="T133" s="2"/>
      <c r="U133" s="18"/>
      <c r="V133" s="19"/>
      <c r="W133" s="19"/>
    </row>
    <row r="134" spans="1:23" ht="24" x14ac:dyDescent="0.25">
      <c r="A134" s="16"/>
      <c r="B134" s="11"/>
      <c r="C134" s="13" t="s">
        <v>2</v>
      </c>
      <c r="D134" s="13"/>
      <c r="E134" s="2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</row>
    <row r="135" spans="1:23" ht="25" x14ac:dyDescent="0.25">
      <c r="A135" s="16"/>
      <c r="B135" s="11"/>
      <c r="C135" s="14" t="s">
        <v>3</v>
      </c>
      <c r="D135" s="3" t="s">
        <v>4</v>
      </c>
      <c r="E135" s="2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</row>
    <row r="136" spans="1:23" ht="25" x14ac:dyDescent="0.25">
      <c r="A136" s="16"/>
      <c r="B136" s="11"/>
      <c r="C136" s="14"/>
      <c r="D136" s="3" t="s">
        <v>5</v>
      </c>
      <c r="E136" s="21"/>
      <c r="F136" s="4"/>
      <c r="G136" s="4"/>
      <c r="H136" s="4"/>
      <c r="I136" s="4"/>
      <c r="J136" s="4"/>
      <c r="K136" s="4"/>
      <c r="L136" s="5"/>
      <c r="M136" s="4"/>
      <c r="N136" s="4"/>
      <c r="O136" s="4"/>
      <c r="P136" s="4"/>
      <c r="Q136" s="4"/>
      <c r="R136" s="4"/>
      <c r="S136" s="4"/>
      <c r="T136" s="4"/>
      <c r="U136" s="4"/>
    </row>
    <row r="137" spans="1:23" ht="24" x14ac:dyDescent="0.25">
      <c r="A137" s="16"/>
      <c r="B137" s="11"/>
      <c r="C137" s="15" t="s">
        <v>6</v>
      </c>
      <c r="D137" s="15"/>
      <c r="E137" s="21"/>
      <c r="F137" s="1"/>
      <c r="G137" s="1"/>
      <c r="H137" s="1"/>
      <c r="I137" s="10"/>
      <c r="J137" s="10"/>
      <c r="K137" s="10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3" ht="24" x14ac:dyDescent="0.25">
      <c r="A138" s="16"/>
      <c r="B138" s="11" t="s">
        <v>8</v>
      </c>
      <c r="C138" s="12" t="s">
        <v>1</v>
      </c>
      <c r="D138" s="12"/>
      <c r="E138" s="21">
        <v>43</v>
      </c>
      <c r="F138" s="1">
        <v>61</v>
      </c>
      <c r="G138" s="1">
        <v>73</v>
      </c>
      <c r="H138" s="1">
        <v>89</v>
      </c>
      <c r="I138" s="1">
        <v>101</v>
      </c>
      <c r="J138" s="1">
        <v>119</v>
      </c>
      <c r="K138" s="1">
        <v>153</v>
      </c>
      <c r="L138" s="2">
        <v>240</v>
      </c>
      <c r="M138" s="2">
        <v>241</v>
      </c>
      <c r="N138" s="2">
        <v>242</v>
      </c>
      <c r="O138" s="2" t="s">
        <v>16</v>
      </c>
      <c r="P138" s="1"/>
      <c r="Q138" s="1"/>
      <c r="R138" s="1"/>
      <c r="S138" s="1"/>
      <c r="T138" s="1"/>
      <c r="U138" s="1"/>
    </row>
    <row r="139" spans="1:23" ht="24" x14ac:dyDescent="0.25">
      <c r="A139" s="16"/>
      <c r="B139" s="11"/>
      <c r="C139" s="13" t="s">
        <v>2</v>
      </c>
      <c r="D139" s="13"/>
      <c r="E139" s="21"/>
      <c r="F139" s="1"/>
      <c r="G139" s="1"/>
      <c r="H139" s="1"/>
      <c r="I139" s="1"/>
      <c r="J139" s="1"/>
      <c r="K139" s="1"/>
      <c r="L139" s="1"/>
      <c r="M139" s="2"/>
      <c r="N139" s="1"/>
      <c r="O139" s="1"/>
      <c r="P139" s="1"/>
      <c r="Q139" s="1"/>
      <c r="R139" s="1"/>
      <c r="S139" s="1"/>
      <c r="T139" s="1"/>
      <c r="U139" s="1"/>
    </row>
    <row r="140" spans="1:23" ht="25" x14ac:dyDescent="0.25">
      <c r="A140" s="16"/>
      <c r="B140" s="11"/>
      <c r="C140" s="14" t="s">
        <v>3</v>
      </c>
      <c r="D140" s="3" t="s">
        <v>4</v>
      </c>
      <c r="E140" s="21"/>
      <c r="F140" s="1"/>
      <c r="G140" s="1"/>
      <c r="H140" s="1"/>
      <c r="I140" s="1"/>
      <c r="J140" s="1"/>
      <c r="K140" s="1"/>
      <c r="L140" s="1"/>
      <c r="M140" s="2"/>
      <c r="N140" s="1"/>
      <c r="O140" s="1"/>
      <c r="P140" s="1"/>
      <c r="Q140" s="1"/>
      <c r="R140" s="1"/>
      <c r="S140" s="1"/>
      <c r="T140" s="1"/>
      <c r="U140" s="1"/>
    </row>
    <row r="141" spans="1:23" ht="25" x14ac:dyDescent="0.25">
      <c r="A141" s="16"/>
      <c r="B141" s="11"/>
      <c r="C141" s="14"/>
      <c r="D141" s="3" t="s">
        <v>5</v>
      </c>
      <c r="E141" s="21"/>
      <c r="F141" s="4"/>
      <c r="G141" s="4"/>
      <c r="H141" s="4"/>
      <c r="I141" s="4"/>
      <c r="J141" s="4"/>
      <c r="K141" s="4"/>
      <c r="L141" s="4"/>
      <c r="M141" s="5"/>
      <c r="N141" s="4"/>
      <c r="O141" s="4"/>
      <c r="P141" s="4"/>
      <c r="Q141" s="4"/>
      <c r="R141" s="4"/>
      <c r="S141" s="4"/>
      <c r="T141" s="4"/>
      <c r="U141" s="4"/>
    </row>
    <row r="142" spans="1:23" ht="24" x14ac:dyDescent="0.25">
      <c r="A142" s="16"/>
      <c r="B142" s="11"/>
      <c r="C142" s="15" t="s">
        <v>6</v>
      </c>
      <c r="D142" s="15"/>
      <c r="E142" s="21"/>
      <c r="F142" s="1"/>
      <c r="G142" s="1"/>
      <c r="H142" s="1"/>
      <c r="I142" s="1"/>
      <c r="J142" s="10"/>
      <c r="K142" s="10"/>
      <c r="L142" s="10"/>
      <c r="M142" s="10"/>
      <c r="N142" s="1"/>
      <c r="O142" s="1"/>
      <c r="P142" s="1"/>
      <c r="Q142" s="1"/>
      <c r="R142" s="1"/>
      <c r="S142" s="1"/>
      <c r="T142" s="1"/>
      <c r="U142" s="1"/>
    </row>
    <row r="143" spans="1:23" ht="24" x14ac:dyDescent="0.25">
      <c r="A143" s="16"/>
      <c r="B143" s="11" t="s">
        <v>9</v>
      </c>
      <c r="C143" s="12" t="s">
        <v>1</v>
      </c>
      <c r="D143" s="12"/>
      <c r="E143" s="21">
        <v>53</v>
      </c>
      <c r="F143" s="1">
        <v>64</v>
      </c>
      <c r="G143" s="1">
        <v>78</v>
      </c>
      <c r="H143" s="1">
        <v>90</v>
      </c>
      <c r="I143" s="1">
        <v>101</v>
      </c>
      <c r="J143" s="1">
        <v>122</v>
      </c>
      <c r="K143" s="1">
        <v>163</v>
      </c>
      <c r="L143" s="1">
        <v>179</v>
      </c>
      <c r="M143" s="1">
        <v>230</v>
      </c>
      <c r="N143" s="1">
        <v>231</v>
      </c>
      <c r="O143" s="1">
        <v>232</v>
      </c>
      <c r="P143" s="2" t="s">
        <v>16</v>
      </c>
      <c r="Q143" s="2"/>
      <c r="R143" s="2"/>
      <c r="S143" s="2"/>
      <c r="T143" s="2"/>
      <c r="U143" s="2"/>
    </row>
    <row r="144" spans="1:23" ht="24" x14ac:dyDescent="0.25">
      <c r="A144" s="16"/>
      <c r="B144" s="11"/>
      <c r="C144" s="13" t="s">
        <v>2</v>
      </c>
      <c r="D144" s="13"/>
      <c r="E144" s="2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2"/>
      <c r="S144" s="1"/>
      <c r="T144" s="1"/>
      <c r="U144" s="2"/>
    </row>
    <row r="145" spans="1:24" ht="25" x14ac:dyDescent="0.25">
      <c r="A145" s="16"/>
      <c r="B145" s="11"/>
      <c r="C145" s="14" t="s">
        <v>3</v>
      </c>
      <c r="D145" s="3" t="s">
        <v>4</v>
      </c>
      <c r="E145" s="2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2"/>
      <c r="S145" s="1"/>
      <c r="T145" s="1"/>
      <c r="U145" s="2"/>
    </row>
    <row r="146" spans="1:24" ht="25" x14ac:dyDescent="0.25">
      <c r="A146" s="16"/>
      <c r="B146" s="11"/>
      <c r="C146" s="14"/>
      <c r="D146" s="3" t="s">
        <v>5</v>
      </c>
      <c r="E146" s="2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/>
      <c r="S146" s="4"/>
      <c r="T146" s="4"/>
      <c r="U146" s="5"/>
    </row>
    <row r="147" spans="1:24" ht="24" x14ac:dyDescent="0.25">
      <c r="A147" s="16"/>
      <c r="B147" s="11"/>
      <c r="C147" s="15" t="s">
        <v>6</v>
      </c>
      <c r="D147" s="15"/>
      <c r="E147" s="21"/>
      <c r="F147" s="1"/>
      <c r="G147" s="1"/>
      <c r="H147" s="1"/>
      <c r="I147" s="1"/>
      <c r="J147" s="1"/>
      <c r="K147" s="1"/>
      <c r="L147" s="1"/>
      <c r="M147" s="1"/>
      <c r="N147" s="10"/>
      <c r="O147" s="10"/>
      <c r="P147" s="10"/>
      <c r="Q147" s="10"/>
      <c r="R147" s="10"/>
      <c r="S147" s="1"/>
      <c r="T147" s="1"/>
      <c r="U147" s="2"/>
    </row>
    <row r="148" spans="1:24" ht="24" x14ac:dyDescent="0.25">
      <c r="A148" s="16"/>
      <c r="B148" s="11" t="s">
        <v>10</v>
      </c>
      <c r="C148" s="12" t="s">
        <v>1</v>
      </c>
      <c r="D148" s="12"/>
      <c r="E148" s="21">
        <v>30</v>
      </c>
      <c r="F148" s="1">
        <v>47</v>
      </c>
      <c r="G148" s="1">
        <v>57</v>
      </c>
      <c r="H148" s="1">
        <v>69</v>
      </c>
      <c r="I148" s="1">
        <v>78</v>
      </c>
      <c r="J148" s="1">
        <v>89</v>
      </c>
      <c r="K148" s="1">
        <v>104</v>
      </c>
      <c r="L148" s="1">
        <v>135</v>
      </c>
      <c r="M148" s="1">
        <v>189</v>
      </c>
      <c r="N148" s="1">
        <v>190</v>
      </c>
      <c r="O148" s="1">
        <v>191</v>
      </c>
      <c r="P148" s="1" t="s">
        <v>16</v>
      </c>
      <c r="Q148" s="2"/>
      <c r="R148" s="2"/>
      <c r="S148" s="2"/>
      <c r="T148" s="1"/>
      <c r="U148" s="1"/>
    </row>
    <row r="149" spans="1:24" ht="24" x14ac:dyDescent="0.25">
      <c r="A149" s="16"/>
      <c r="B149" s="11"/>
      <c r="C149" s="13" t="s">
        <v>2</v>
      </c>
      <c r="D149" s="13"/>
      <c r="E149" s="2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2"/>
      <c r="Q149" s="1"/>
      <c r="R149" s="1"/>
      <c r="S149" s="1"/>
      <c r="T149" s="1"/>
      <c r="U149" s="1"/>
    </row>
    <row r="150" spans="1:24" ht="25" x14ac:dyDescent="0.25">
      <c r="A150" s="16"/>
      <c r="B150" s="11"/>
      <c r="C150" s="14" t="s">
        <v>3</v>
      </c>
      <c r="D150" s="3" t="s">
        <v>4</v>
      </c>
      <c r="E150" s="2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2"/>
      <c r="Q150" s="1"/>
      <c r="R150" s="1"/>
      <c r="S150" s="1"/>
      <c r="T150" s="1"/>
      <c r="U150" s="1"/>
    </row>
    <row r="151" spans="1:24" ht="25" x14ac:dyDescent="0.25">
      <c r="A151" s="16"/>
      <c r="B151" s="11"/>
      <c r="C151" s="14"/>
      <c r="D151" s="3" t="s">
        <v>5</v>
      </c>
      <c r="E151" s="2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5"/>
      <c r="Q151" s="4"/>
      <c r="R151" s="4"/>
      <c r="S151" s="4"/>
      <c r="T151" s="4"/>
      <c r="U151" s="4"/>
    </row>
    <row r="152" spans="1:24" ht="24" x14ac:dyDescent="0.25">
      <c r="A152" s="16"/>
      <c r="B152" s="11"/>
      <c r="C152" s="15" t="s">
        <v>6</v>
      </c>
      <c r="D152" s="15"/>
      <c r="E152" s="21"/>
      <c r="F152" s="1"/>
      <c r="G152" s="1"/>
      <c r="H152" s="1"/>
      <c r="I152" s="1"/>
      <c r="J152" s="1"/>
      <c r="K152" s="1"/>
      <c r="L152" s="1"/>
      <c r="M152" s="10"/>
      <c r="N152" s="10"/>
      <c r="O152" s="10"/>
      <c r="P152" s="10"/>
      <c r="Q152" s="1"/>
      <c r="R152" s="1"/>
      <c r="S152" s="1"/>
      <c r="T152" s="1"/>
      <c r="U152" s="1"/>
    </row>
    <row r="153" spans="1:24" ht="24" x14ac:dyDescent="0.25">
      <c r="A153" s="16"/>
      <c r="B153" s="11" t="s">
        <v>11</v>
      </c>
      <c r="C153" s="12" t="s">
        <v>1</v>
      </c>
      <c r="D153" s="12"/>
      <c r="E153" s="21">
        <v>36</v>
      </c>
      <c r="F153" s="1">
        <v>48</v>
      </c>
      <c r="G153" s="1">
        <v>65</v>
      </c>
      <c r="H153" s="1">
        <v>78</v>
      </c>
      <c r="I153" s="1">
        <v>89</v>
      </c>
      <c r="J153" s="1">
        <v>102</v>
      </c>
      <c r="K153" s="1">
        <v>118</v>
      </c>
      <c r="L153" s="1">
        <v>152</v>
      </c>
      <c r="M153" s="1">
        <v>170</v>
      </c>
      <c r="N153" s="2">
        <v>171</v>
      </c>
      <c r="O153" s="2">
        <v>172</v>
      </c>
      <c r="P153" s="1" t="s">
        <v>16</v>
      </c>
      <c r="Q153" s="2"/>
      <c r="R153" s="2"/>
      <c r="S153" s="2"/>
      <c r="T153" s="2"/>
      <c r="U153" s="1"/>
      <c r="V153" s="2"/>
      <c r="X153" s="17"/>
    </row>
    <row r="154" spans="1:24" ht="24" x14ac:dyDescent="0.25">
      <c r="A154" s="16"/>
      <c r="B154" s="11"/>
      <c r="C154" s="13" t="s">
        <v>2</v>
      </c>
      <c r="D154" s="13"/>
      <c r="E154" s="21"/>
      <c r="F154" s="1"/>
      <c r="G154" s="1"/>
      <c r="H154" s="1"/>
      <c r="I154" s="1"/>
      <c r="J154" s="1"/>
      <c r="K154" s="1"/>
      <c r="L154" s="1"/>
      <c r="M154" s="1"/>
      <c r="N154" s="2"/>
      <c r="O154" s="1"/>
      <c r="P154" s="1"/>
      <c r="Q154" s="1"/>
      <c r="R154" s="1"/>
      <c r="S154" s="1"/>
      <c r="T154" s="1"/>
      <c r="U154" s="1"/>
    </row>
    <row r="155" spans="1:24" ht="25" x14ac:dyDescent="0.25">
      <c r="A155" s="16"/>
      <c r="B155" s="11"/>
      <c r="C155" s="14" t="s">
        <v>3</v>
      </c>
      <c r="D155" s="3" t="s">
        <v>4</v>
      </c>
      <c r="E155" s="21"/>
      <c r="F155" s="1"/>
      <c r="G155" s="1"/>
      <c r="H155" s="1"/>
      <c r="I155" s="1"/>
      <c r="J155" s="1"/>
      <c r="K155" s="1"/>
      <c r="L155" s="1"/>
      <c r="M155" s="1"/>
      <c r="N155" s="2"/>
      <c r="O155" s="1"/>
      <c r="P155" s="1"/>
      <c r="Q155" s="1"/>
      <c r="R155" s="1"/>
      <c r="S155" s="1"/>
      <c r="T155" s="1"/>
      <c r="U155" s="1"/>
    </row>
    <row r="156" spans="1:24" ht="25" x14ac:dyDescent="0.25">
      <c r="A156" s="16"/>
      <c r="B156" s="11"/>
      <c r="C156" s="14"/>
      <c r="D156" s="3" t="s">
        <v>5</v>
      </c>
      <c r="E156" s="21"/>
      <c r="F156" s="4"/>
      <c r="G156" s="4"/>
      <c r="H156" s="4"/>
      <c r="I156" s="4"/>
      <c r="J156" s="4"/>
      <c r="K156" s="4"/>
      <c r="L156" s="4"/>
      <c r="M156" s="4"/>
      <c r="N156" s="5"/>
      <c r="O156" s="4"/>
      <c r="P156" s="4"/>
      <c r="Q156" s="4"/>
      <c r="R156" s="4"/>
      <c r="S156" s="4"/>
      <c r="T156" s="4"/>
      <c r="U156" s="4"/>
    </row>
    <row r="157" spans="1:24" ht="24" x14ac:dyDescent="0.25">
      <c r="A157" s="16"/>
      <c r="B157" s="11"/>
      <c r="C157" s="15" t="s">
        <v>6</v>
      </c>
      <c r="D157" s="15"/>
      <c r="E157" s="21"/>
      <c r="F157" s="1"/>
      <c r="G157" s="1"/>
      <c r="H157" s="1"/>
      <c r="I157" s="1"/>
      <c r="J157" s="1"/>
      <c r="K157" s="1"/>
      <c r="L157" s="10"/>
      <c r="M157" s="10"/>
      <c r="N157" s="10"/>
      <c r="O157" s="1"/>
      <c r="P157" s="1"/>
      <c r="Q157" s="1"/>
      <c r="R157" s="1"/>
      <c r="S157" s="1"/>
      <c r="T157" s="1"/>
      <c r="U157" s="1"/>
    </row>
    <row r="159" spans="1:24" ht="24" x14ac:dyDescent="0.25">
      <c r="A159" s="16" t="s">
        <v>25</v>
      </c>
      <c r="B159" s="11" t="s">
        <v>0</v>
      </c>
      <c r="C159" s="12" t="s">
        <v>1</v>
      </c>
      <c r="D159" s="12"/>
      <c r="E159" s="21">
        <v>6</v>
      </c>
      <c r="F159" s="1">
        <v>14</v>
      </c>
      <c r="G159" s="1">
        <v>24</v>
      </c>
      <c r="H159" s="1">
        <v>34</v>
      </c>
      <c r="I159" s="1">
        <v>41</v>
      </c>
      <c r="J159" s="1">
        <v>51</v>
      </c>
      <c r="K159" s="1">
        <v>61</v>
      </c>
      <c r="L159" s="1">
        <v>76</v>
      </c>
      <c r="M159" s="1">
        <v>88</v>
      </c>
      <c r="N159" s="2">
        <v>102</v>
      </c>
      <c r="O159" s="2">
        <v>125</v>
      </c>
      <c r="P159" s="2">
        <v>147</v>
      </c>
      <c r="Q159" s="2">
        <v>148</v>
      </c>
      <c r="R159" s="2">
        <v>149</v>
      </c>
      <c r="S159" s="2" t="s">
        <v>16</v>
      </c>
      <c r="T159" s="1"/>
      <c r="U159" s="1"/>
    </row>
    <row r="160" spans="1:24" ht="24" x14ac:dyDescent="0.25">
      <c r="A160" s="16"/>
      <c r="B160" s="11"/>
      <c r="C160" s="13" t="s">
        <v>2</v>
      </c>
      <c r="D160" s="13"/>
      <c r="E160" s="2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25" x14ac:dyDescent="0.25">
      <c r="A161" s="16"/>
      <c r="B161" s="11"/>
      <c r="C161" s="14" t="s">
        <v>3</v>
      </c>
      <c r="D161" s="3" t="s">
        <v>4</v>
      </c>
      <c r="E161" s="2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25" x14ac:dyDescent="0.25">
      <c r="A162" s="16"/>
      <c r="B162" s="11"/>
      <c r="C162" s="14"/>
      <c r="D162" s="3" t="s">
        <v>5</v>
      </c>
      <c r="E162" s="21"/>
      <c r="F162" s="4"/>
      <c r="G162" s="4"/>
      <c r="H162" s="4"/>
      <c r="I162" s="4"/>
      <c r="J162" s="4"/>
      <c r="K162" s="4"/>
      <c r="L162" s="5"/>
      <c r="M162" s="4"/>
      <c r="N162" s="4"/>
      <c r="O162" s="4"/>
      <c r="P162" s="4"/>
      <c r="Q162" s="4"/>
      <c r="R162" s="4"/>
      <c r="S162" s="4"/>
      <c r="T162" s="4"/>
      <c r="U162" s="4"/>
    </row>
    <row r="163" spans="1:21" ht="24" x14ac:dyDescent="0.25">
      <c r="A163" s="16"/>
      <c r="B163" s="11"/>
      <c r="C163" s="15" t="s">
        <v>6</v>
      </c>
      <c r="D163" s="15"/>
      <c r="E163" s="21"/>
      <c r="F163" s="1"/>
      <c r="G163" s="1"/>
      <c r="H163" s="1"/>
      <c r="I163" s="10"/>
      <c r="J163" s="10"/>
      <c r="K163" s="10"/>
      <c r="L163" s="10"/>
      <c r="M163" s="10"/>
      <c r="N163" s="1"/>
      <c r="O163" s="1"/>
      <c r="P163" s="1"/>
      <c r="Q163" s="1"/>
      <c r="R163" s="1"/>
      <c r="S163" s="1"/>
      <c r="T163" s="1"/>
      <c r="U163" s="1"/>
    </row>
    <row r="164" spans="1:21" ht="24" x14ac:dyDescent="0.25">
      <c r="A164" s="16"/>
      <c r="B164" s="11" t="s">
        <v>7</v>
      </c>
      <c r="C164" s="12" t="s">
        <v>1</v>
      </c>
      <c r="D164" s="12"/>
      <c r="E164" s="21">
        <v>16</v>
      </c>
      <c r="F164" s="1">
        <v>24</v>
      </c>
      <c r="G164" s="1">
        <v>36</v>
      </c>
      <c r="H164" s="1">
        <v>46</v>
      </c>
      <c r="I164" s="1">
        <v>59</v>
      </c>
      <c r="J164" s="1">
        <v>70</v>
      </c>
      <c r="K164" s="1">
        <v>80</v>
      </c>
      <c r="L164" s="2">
        <v>91</v>
      </c>
      <c r="M164" s="2">
        <v>104</v>
      </c>
      <c r="N164" s="2">
        <v>112</v>
      </c>
      <c r="O164" s="2">
        <v>142</v>
      </c>
      <c r="P164" s="1">
        <v>264</v>
      </c>
      <c r="Q164" s="2">
        <v>265</v>
      </c>
      <c r="R164" s="2">
        <v>266</v>
      </c>
      <c r="S164" s="2" t="s">
        <v>16</v>
      </c>
      <c r="T164" s="2"/>
      <c r="U164" s="1"/>
    </row>
    <row r="165" spans="1:21" ht="24" x14ac:dyDescent="0.25">
      <c r="A165" s="16"/>
      <c r="B165" s="11"/>
      <c r="C165" s="13" t="s">
        <v>2</v>
      </c>
      <c r="D165" s="13"/>
      <c r="E165" s="2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25" x14ac:dyDescent="0.25">
      <c r="A166" s="16"/>
      <c r="B166" s="11"/>
      <c r="C166" s="14" t="s">
        <v>3</v>
      </c>
      <c r="D166" s="3" t="s">
        <v>4</v>
      </c>
      <c r="E166" s="2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25" x14ac:dyDescent="0.25">
      <c r="A167" s="16"/>
      <c r="B167" s="11"/>
      <c r="C167" s="14"/>
      <c r="D167" s="3" t="s">
        <v>5</v>
      </c>
      <c r="E167" s="21"/>
      <c r="F167" s="4"/>
      <c r="G167" s="4"/>
      <c r="H167" s="4"/>
      <c r="I167" s="4"/>
      <c r="J167" s="4"/>
      <c r="K167" s="4"/>
      <c r="L167" s="5"/>
      <c r="M167" s="4"/>
      <c r="N167" s="4"/>
      <c r="O167" s="4"/>
      <c r="P167" s="4"/>
      <c r="Q167" s="4"/>
      <c r="R167" s="4"/>
      <c r="S167" s="4"/>
      <c r="T167" s="4"/>
      <c r="U167" s="4"/>
    </row>
    <row r="168" spans="1:21" ht="24" x14ac:dyDescent="0.25">
      <c r="A168" s="16"/>
      <c r="B168" s="11"/>
      <c r="C168" s="15" t="s">
        <v>6</v>
      </c>
      <c r="D168" s="15"/>
      <c r="E168" s="21"/>
      <c r="F168" s="1"/>
      <c r="G168" s="1"/>
      <c r="H168" s="1"/>
      <c r="I168" s="10"/>
      <c r="J168" s="10"/>
      <c r="K168" s="10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24" x14ac:dyDescent="0.25">
      <c r="A169" s="16"/>
      <c r="B169" s="11" t="s">
        <v>8</v>
      </c>
      <c r="C169" s="12" t="s">
        <v>1</v>
      </c>
      <c r="D169" s="12"/>
      <c r="E169" s="21">
        <v>7</v>
      </c>
      <c r="F169" s="1">
        <v>16</v>
      </c>
      <c r="G169" s="1">
        <v>27</v>
      </c>
      <c r="H169" s="1">
        <v>36</v>
      </c>
      <c r="I169" s="1">
        <v>44</v>
      </c>
      <c r="J169" s="1">
        <v>57</v>
      </c>
      <c r="K169" s="1">
        <v>64</v>
      </c>
      <c r="L169" s="1">
        <v>75</v>
      </c>
      <c r="M169" s="2">
        <v>85</v>
      </c>
      <c r="N169" s="2">
        <v>100</v>
      </c>
      <c r="O169" s="2">
        <v>112</v>
      </c>
      <c r="P169" s="2">
        <v>141</v>
      </c>
      <c r="Q169" s="1">
        <v>193</v>
      </c>
      <c r="R169" s="1">
        <v>388</v>
      </c>
      <c r="S169" s="1">
        <v>389</v>
      </c>
      <c r="T169" s="1">
        <v>390</v>
      </c>
      <c r="U169" s="1" t="s">
        <v>16</v>
      </c>
    </row>
    <row r="170" spans="1:21" ht="24" x14ac:dyDescent="0.25">
      <c r="A170" s="16"/>
      <c r="B170" s="11"/>
      <c r="C170" s="13" t="s">
        <v>2</v>
      </c>
      <c r="D170" s="13"/>
      <c r="E170" s="21"/>
      <c r="F170" s="1"/>
      <c r="G170" s="1"/>
      <c r="H170" s="1"/>
      <c r="I170" s="1"/>
      <c r="J170" s="1"/>
      <c r="K170" s="1"/>
      <c r="L170" s="1"/>
      <c r="M170" s="2"/>
      <c r="N170" s="1"/>
      <c r="O170" s="1"/>
      <c r="P170" s="1"/>
      <c r="Q170" s="1"/>
      <c r="R170" s="1"/>
      <c r="S170" s="1"/>
      <c r="T170" s="1"/>
      <c r="U170" s="1"/>
    </row>
    <row r="171" spans="1:21" ht="25" x14ac:dyDescent="0.25">
      <c r="A171" s="16"/>
      <c r="B171" s="11"/>
      <c r="C171" s="14" t="s">
        <v>3</v>
      </c>
      <c r="D171" s="3" t="s">
        <v>4</v>
      </c>
      <c r="E171" s="21"/>
      <c r="F171" s="1"/>
      <c r="G171" s="1"/>
      <c r="H171" s="1"/>
      <c r="I171" s="1"/>
      <c r="J171" s="1"/>
      <c r="K171" s="1"/>
      <c r="L171" s="1"/>
      <c r="M171" s="2"/>
      <c r="N171" s="1"/>
      <c r="O171" s="1"/>
      <c r="P171" s="1"/>
      <c r="Q171" s="1"/>
      <c r="R171" s="1"/>
      <c r="S171" s="1"/>
      <c r="T171" s="1"/>
      <c r="U171" s="1"/>
    </row>
    <row r="172" spans="1:21" ht="25" x14ac:dyDescent="0.25">
      <c r="A172" s="16"/>
      <c r="B172" s="11"/>
      <c r="C172" s="14"/>
      <c r="D172" s="3" t="s">
        <v>5</v>
      </c>
      <c r="E172" s="21"/>
      <c r="F172" s="4"/>
      <c r="G172" s="4"/>
      <c r="H172" s="4"/>
      <c r="I172" s="4"/>
      <c r="J172" s="4"/>
      <c r="K172" s="4"/>
      <c r="L172" s="4"/>
      <c r="M172" s="5"/>
      <c r="N172" s="4"/>
      <c r="O172" s="4"/>
      <c r="P172" s="4"/>
      <c r="Q172" s="4"/>
      <c r="R172" s="4"/>
      <c r="S172" s="4"/>
      <c r="T172" s="4"/>
      <c r="U172" s="4"/>
    </row>
    <row r="173" spans="1:21" ht="24" x14ac:dyDescent="0.25">
      <c r="A173" s="16"/>
      <c r="B173" s="11"/>
      <c r="C173" s="15" t="s">
        <v>6</v>
      </c>
      <c r="D173" s="15"/>
      <c r="E173" s="21"/>
      <c r="F173" s="1"/>
      <c r="G173" s="1"/>
      <c r="H173" s="1"/>
      <c r="I173" s="1"/>
      <c r="J173" s="10"/>
      <c r="K173" s="10"/>
      <c r="L173" s="10"/>
      <c r="M173" s="10"/>
      <c r="N173" s="1"/>
      <c r="O173" s="1"/>
      <c r="P173" s="1"/>
      <c r="Q173" s="1"/>
      <c r="R173" s="1"/>
      <c r="S173" s="1"/>
      <c r="T173" s="1"/>
      <c r="U173" s="1"/>
    </row>
    <row r="174" spans="1:21" ht="24" x14ac:dyDescent="0.25">
      <c r="A174" s="16"/>
      <c r="B174" s="11" t="s">
        <v>9</v>
      </c>
      <c r="C174" s="12" t="s">
        <v>1</v>
      </c>
      <c r="D174" s="12"/>
      <c r="E174" s="21">
        <v>6</v>
      </c>
      <c r="F174" s="1">
        <v>18</v>
      </c>
      <c r="G174" s="1">
        <v>29</v>
      </c>
      <c r="H174" s="1">
        <v>36</v>
      </c>
      <c r="I174" s="1">
        <v>43</v>
      </c>
      <c r="J174" s="1">
        <v>54</v>
      </c>
      <c r="K174" s="1">
        <v>64</v>
      </c>
      <c r="L174" s="1">
        <v>78</v>
      </c>
      <c r="M174" s="1">
        <v>98</v>
      </c>
      <c r="N174" s="1">
        <v>108</v>
      </c>
      <c r="O174" s="1">
        <v>119</v>
      </c>
      <c r="P174" s="1">
        <v>148</v>
      </c>
      <c r="Q174" s="1">
        <v>149</v>
      </c>
      <c r="R174" s="2">
        <v>150</v>
      </c>
      <c r="S174" s="2" t="s">
        <v>16</v>
      </c>
      <c r="T174" s="2"/>
      <c r="U174" s="2"/>
    </row>
    <row r="175" spans="1:21" ht="24" x14ac:dyDescent="0.25">
      <c r="A175" s="16"/>
      <c r="B175" s="11"/>
      <c r="C175" s="13" t="s">
        <v>2</v>
      </c>
      <c r="D175" s="13"/>
      <c r="E175" s="2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2"/>
      <c r="S175" s="1"/>
      <c r="T175" s="1"/>
      <c r="U175" s="2"/>
    </row>
    <row r="176" spans="1:21" ht="25" x14ac:dyDescent="0.25">
      <c r="A176" s="16"/>
      <c r="B176" s="11"/>
      <c r="C176" s="14" t="s">
        <v>3</v>
      </c>
      <c r="D176" s="3" t="s">
        <v>4</v>
      </c>
      <c r="E176" s="2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2"/>
      <c r="S176" s="1"/>
      <c r="T176" s="1"/>
      <c r="U176" s="2"/>
    </row>
    <row r="177" spans="1:21" ht="25" x14ac:dyDescent="0.25">
      <c r="A177" s="16"/>
      <c r="B177" s="11"/>
      <c r="C177" s="14"/>
      <c r="D177" s="3" t="s">
        <v>5</v>
      </c>
      <c r="E177" s="2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"/>
      <c r="S177" s="4"/>
      <c r="T177" s="4"/>
      <c r="U177" s="5"/>
    </row>
    <row r="178" spans="1:21" ht="24" x14ac:dyDescent="0.25">
      <c r="A178" s="16"/>
      <c r="B178" s="11"/>
      <c r="C178" s="15" t="s">
        <v>6</v>
      </c>
      <c r="D178" s="15"/>
      <c r="E178" s="21"/>
      <c r="F178" s="1"/>
      <c r="G178" s="1"/>
      <c r="H178" s="1"/>
      <c r="I178" s="1"/>
      <c r="J178" s="1"/>
      <c r="K178" s="1"/>
      <c r="L178" s="1"/>
      <c r="M178" s="1"/>
      <c r="N178" s="10"/>
      <c r="O178" s="10"/>
      <c r="P178" s="10"/>
      <c r="Q178" s="10"/>
      <c r="R178" s="10"/>
      <c r="S178" s="1"/>
      <c r="T178" s="1"/>
      <c r="U178" s="2"/>
    </row>
    <row r="179" spans="1:21" ht="24" x14ac:dyDescent="0.25">
      <c r="A179" s="16"/>
      <c r="B179" s="11" t="s">
        <v>10</v>
      </c>
      <c r="C179" s="12" t="s">
        <v>1</v>
      </c>
      <c r="D179" s="12"/>
      <c r="E179" s="21">
        <v>8</v>
      </c>
      <c r="F179" s="1">
        <v>18</v>
      </c>
      <c r="G179" s="1">
        <v>29</v>
      </c>
      <c r="H179" s="1">
        <v>42</v>
      </c>
      <c r="I179" s="1">
        <v>53</v>
      </c>
      <c r="J179" s="1">
        <v>63</v>
      </c>
      <c r="K179" s="1">
        <v>75</v>
      </c>
      <c r="L179" s="1">
        <v>88</v>
      </c>
      <c r="M179" s="1">
        <v>102</v>
      </c>
      <c r="N179" s="1">
        <v>119</v>
      </c>
      <c r="O179" s="1">
        <v>163</v>
      </c>
      <c r="P179" s="1">
        <v>367</v>
      </c>
      <c r="Q179" s="2">
        <v>368</v>
      </c>
      <c r="R179" s="2">
        <v>369</v>
      </c>
      <c r="S179" s="2" t="s">
        <v>16</v>
      </c>
      <c r="T179" s="1"/>
      <c r="U179" s="1"/>
    </row>
    <row r="180" spans="1:21" ht="24" x14ac:dyDescent="0.25">
      <c r="A180" s="16"/>
      <c r="B180" s="11"/>
      <c r="C180" s="13" t="s">
        <v>2</v>
      </c>
      <c r="D180" s="13"/>
      <c r="E180" s="2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2"/>
      <c r="Q180" s="1"/>
      <c r="R180" s="1"/>
      <c r="S180" s="1"/>
      <c r="T180" s="1"/>
      <c r="U180" s="1"/>
    </row>
    <row r="181" spans="1:21" ht="25" x14ac:dyDescent="0.25">
      <c r="A181" s="16"/>
      <c r="B181" s="11"/>
      <c r="C181" s="14" t="s">
        <v>3</v>
      </c>
      <c r="D181" s="3" t="s">
        <v>4</v>
      </c>
      <c r="E181" s="2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2"/>
      <c r="Q181" s="1"/>
      <c r="R181" s="1"/>
      <c r="S181" s="1"/>
      <c r="T181" s="1"/>
      <c r="U181" s="1"/>
    </row>
    <row r="182" spans="1:21" ht="25" x14ac:dyDescent="0.25">
      <c r="A182" s="16"/>
      <c r="B182" s="11"/>
      <c r="C182" s="14"/>
      <c r="D182" s="3" t="s">
        <v>5</v>
      </c>
      <c r="E182" s="2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5"/>
      <c r="Q182" s="4"/>
      <c r="R182" s="4"/>
      <c r="S182" s="4"/>
      <c r="T182" s="4"/>
      <c r="U182" s="4"/>
    </row>
    <row r="183" spans="1:21" ht="24" x14ac:dyDescent="0.25">
      <c r="A183" s="16"/>
      <c r="B183" s="11"/>
      <c r="C183" s="15" t="s">
        <v>6</v>
      </c>
      <c r="D183" s="15"/>
      <c r="E183" s="21"/>
      <c r="F183" s="1"/>
      <c r="G183" s="1"/>
      <c r="H183" s="1"/>
      <c r="I183" s="1"/>
      <c r="J183" s="1"/>
      <c r="K183" s="1"/>
      <c r="L183" s="1"/>
      <c r="M183" s="10"/>
      <c r="N183" s="10"/>
      <c r="O183" s="10"/>
      <c r="P183" s="10"/>
      <c r="Q183" s="1"/>
      <c r="R183" s="1"/>
      <c r="S183" s="1"/>
      <c r="T183" s="1"/>
      <c r="U183" s="1"/>
    </row>
    <row r="184" spans="1:21" ht="24" x14ac:dyDescent="0.25">
      <c r="A184" s="16"/>
      <c r="B184" s="11" t="s">
        <v>11</v>
      </c>
      <c r="C184" s="12" t="s">
        <v>1</v>
      </c>
      <c r="D184" s="12"/>
      <c r="E184" s="21">
        <v>30</v>
      </c>
      <c r="F184" s="1">
        <v>53</v>
      </c>
      <c r="G184" s="1">
        <v>64</v>
      </c>
      <c r="H184" s="1">
        <v>78</v>
      </c>
      <c r="I184" s="1">
        <v>91</v>
      </c>
      <c r="J184" s="1">
        <v>104</v>
      </c>
      <c r="K184" s="1">
        <v>116</v>
      </c>
      <c r="L184" s="1">
        <v>151</v>
      </c>
      <c r="M184" s="1">
        <v>394</v>
      </c>
      <c r="N184" s="2">
        <v>395</v>
      </c>
      <c r="O184" s="2">
        <v>396</v>
      </c>
      <c r="P184" s="1" t="s">
        <v>16</v>
      </c>
      <c r="Q184" s="2"/>
      <c r="R184" s="2"/>
      <c r="S184" s="2"/>
      <c r="T184" s="2"/>
      <c r="U184" s="1"/>
    </row>
    <row r="185" spans="1:21" ht="24" x14ac:dyDescent="0.25">
      <c r="A185" s="16"/>
      <c r="B185" s="11"/>
      <c r="C185" s="13" t="s">
        <v>2</v>
      </c>
      <c r="D185" s="13"/>
      <c r="E185" s="21"/>
      <c r="F185" s="1"/>
      <c r="G185" s="1"/>
      <c r="H185" s="1"/>
      <c r="I185" s="1"/>
      <c r="J185" s="1"/>
      <c r="K185" s="1"/>
      <c r="L185" s="1"/>
      <c r="M185" s="1"/>
      <c r="N185" s="2"/>
      <c r="O185" s="1"/>
      <c r="P185" s="1"/>
      <c r="Q185" s="1"/>
      <c r="R185" s="1"/>
      <c r="S185" s="1"/>
      <c r="T185" s="1"/>
      <c r="U185" s="1"/>
    </row>
    <row r="186" spans="1:21" ht="25" x14ac:dyDescent="0.25">
      <c r="A186" s="16"/>
      <c r="B186" s="11"/>
      <c r="C186" s="14" t="s">
        <v>3</v>
      </c>
      <c r="D186" s="3" t="s">
        <v>4</v>
      </c>
      <c r="E186" s="21"/>
      <c r="F186" s="1"/>
      <c r="G186" s="1"/>
      <c r="H186" s="1"/>
      <c r="I186" s="1"/>
      <c r="J186" s="1"/>
      <c r="K186" s="1"/>
      <c r="L186" s="1"/>
      <c r="M186" s="1"/>
      <c r="N186" s="2"/>
      <c r="O186" s="1"/>
      <c r="P186" s="1"/>
      <c r="Q186" s="1"/>
      <c r="R186" s="1"/>
      <c r="S186" s="1"/>
      <c r="T186" s="1"/>
      <c r="U186" s="1"/>
    </row>
    <row r="187" spans="1:21" ht="25" x14ac:dyDescent="0.25">
      <c r="A187" s="16"/>
      <c r="B187" s="11"/>
      <c r="C187" s="14"/>
      <c r="D187" s="3" t="s">
        <v>5</v>
      </c>
      <c r="E187" s="21"/>
      <c r="F187" s="4"/>
      <c r="G187" s="4"/>
      <c r="H187" s="4"/>
      <c r="I187" s="4"/>
      <c r="J187" s="4"/>
      <c r="K187" s="4"/>
      <c r="L187" s="4"/>
      <c r="M187" s="4"/>
      <c r="N187" s="5"/>
      <c r="O187" s="4"/>
      <c r="P187" s="4"/>
      <c r="Q187" s="4"/>
      <c r="R187" s="4"/>
      <c r="S187" s="4"/>
      <c r="T187" s="4"/>
      <c r="U187" s="4"/>
    </row>
    <row r="188" spans="1:21" ht="24" x14ac:dyDescent="0.25">
      <c r="A188" s="16"/>
      <c r="B188" s="11"/>
      <c r="C188" s="15" t="s">
        <v>6</v>
      </c>
      <c r="D188" s="15"/>
      <c r="E188" s="21"/>
      <c r="F188" s="1"/>
      <c r="G188" s="1"/>
      <c r="H188" s="1"/>
      <c r="I188" s="1"/>
      <c r="J188" s="1"/>
      <c r="K188" s="1"/>
      <c r="L188" s="10"/>
      <c r="M188" s="10"/>
      <c r="N188" s="10"/>
      <c r="O188" s="1"/>
      <c r="P188" s="1"/>
      <c r="Q188" s="1"/>
      <c r="R188" s="1"/>
      <c r="S188" s="1"/>
      <c r="T188" s="1"/>
      <c r="U188" s="1"/>
    </row>
    <row r="189" spans="1:21" ht="24" x14ac:dyDescent="0.25">
      <c r="A189" s="16"/>
      <c r="B189" s="11" t="s">
        <v>12</v>
      </c>
      <c r="C189" s="12" t="s">
        <v>1</v>
      </c>
      <c r="D189" s="12"/>
      <c r="E189" s="21">
        <v>11</v>
      </c>
      <c r="F189" s="1">
        <v>19</v>
      </c>
      <c r="G189" s="1">
        <v>28</v>
      </c>
      <c r="H189" s="1">
        <v>37</v>
      </c>
      <c r="I189" s="1">
        <v>48</v>
      </c>
      <c r="J189" s="1">
        <v>58</v>
      </c>
      <c r="K189" s="1">
        <v>69</v>
      </c>
      <c r="L189" s="1">
        <v>84</v>
      </c>
      <c r="M189" s="1">
        <v>99</v>
      </c>
      <c r="N189" s="1">
        <v>109</v>
      </c>
      <c r="O189" s="2">
        <v>123</v>
      </c>
      <c r="P189" s="2">
        <v>145</v>
      </c>
      <c r="Q189" s="2">
        <v>146</v>
      </c>
      <c r="R189" s="2">
        <v>147</v>
      </c>
      <c r="S189" s="1" t="s">
        <v>16</v>
      </c>
      <c r="T189" s="1"/>
      <c r="U189" s="2"/>
    </row>
    <row r="190" spans="1:21" ht="24" x14ac:dyDescent="0.25">
      <c r="A190" s="16"/>
      <c r="B190" s="11"/>
      <c r="C190" s="13" t="s">
        <v>2</v>
      </c>
      <c r="D190" s="13"/>
      <c r="E190" s="2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2"/>
    </row>
    <row r="191" spans="1:21" ht="25" x14ac:dyDescent="0.25">
      <c r="A191" s="16"/>
      <c r="B191" s="11"/>
      <c r="C191" s="14" t="s">
        <v>3</v>
      </c>
      <c r="D191" s="3" t="s">
        <v>4</v>
      </c>
      <c r="E191" s="2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2"/>
    </row>
    <row r="192" spans="1:21" ht="25" x14ac:dyDescent="0.25">
      <c r="A192" s="16"/>
      <c r="B192" s="11"/>
      <c r="C192" s="14"/>
      <c r="D192" s="3" t="s">
        <v>5</v>
      </c>
      <c r="E192" s="2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5"/>
    </row>
    <row r="193" spans="1:24" ht="24" x14ac:dyDescent="0.25">
      <c r="A193" s="16"/>
      <c r="B193" s="11"/>
      <c r="C193" s="15" t="s">
        <v>6</v>
      </c>
      <c r="D193" s="15"/>
      <c r="E193" s="21"/>
      <c r="F193" s="1"/>
      <c r="G193" s="1"/>
      <c r="H193" s="1"/>
      <c r="I193" s="1"/>
      <c r="J193" s="1"/>
      <c r="K193" s="1"/>
      <c r="L193" s="1"/>
      <c r="M193" s="10"/>
      <c r="N193" s="10"/>
      <c r="O193" s="10"/>
      <c r="P193" s="1"/>
      <c r="Q193" s="1"/>
      <c r="R193" s="1"/>
      <c r="S193" s="1"/>
      <c r="T193" s="1"/>
      <c r="U193" s="2"/>
    </row>
    <row r="195" spans="1:24" ht="24" x14ac:dyDescent="0.25">
      <c r="A195" s="16" t="s">
        <v>26</v>
      </c>
      <c r="B195" s="11" t="s">
        <v>0</v>
      </c>
      <c r="C195" s="12" t="s">
        <v>1</v>
      </c>
      <c r="D195" s="12"/>
      <c r="E195" s="21">
        <v>2</v>
      </c>
      <c r="F195" s="1">
        <v>14</v>
      </c>
      <c r="G195" s="1">
        <v>26</v>
      </c>
      <c r="H195" s="1">
        <v>37</v>
      </c>
      <c r="I195" s="1">
        <v>47</v>
      </c>
      <c r="J195" s="1">
        <v>57</v>
      </c>
      <c r="K195" s="1">
        <v>64</v>
      </c>
      <c r="L195" s="1">
        <v>74</v>
      </c>
      <c r="M195" s="1">
        <v>89</v>
      </c>
      <c r="N195" s="2">
        <v>210</v>
      </c>
      <c r="O195" s="2">
        <v>211</v>
      </c>
      <c r="P195" s="2">
        <v>212</v>
      </c>
      <c r="Q195" s="2" t="s">
        <v>16</v>
      </c>
      <c r="R195" s="2"/>
      <c r="S195" s="2"/>
      <c r="T195" s="1"/>
      <c r="U195" s="1"/>
    </row>
    <row r="196" spans="1:24" ht="24" x14ac:dyDescent="0.25">
      <c r="A196" s="16"/>
      <c r="B196" s="11"/>
      <c r="C196" s="13" t="s">
        <v>2</v>
      </c>
      <c r="D196" s="13"/>
      <c r="E196" s="2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</row>
    <row r="197" spans="1:24" ht="25" x14ac:dyDescent="0.25">
      <c r="A197" s="16"/>
      <c r="B197" s="11"/>
      <c r="C197" s="14" t="s">
        <v>3</v>
      </c>
      <c r="D197" s="3" t="s">
        <v>4</v>
      </c>
      <c r="E197" s="2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</row>
    <row r="198" spans="1:24" ht="25" x14ac:dyDescent="0.25">
      <c r="A198" s="16"/>
      <c r="B198" s="11"/>
      <c r="C198" s="14"/>
      <c r="D198" s="3" t="s">
        <v>5</v>
      </c>
      <c r="E198" s="21"/>
      <c r="F198" s="4"/>
      <c r="G198" s="4"/>
      <c r="H198" s="4"/>
      <c r="I198" s="4"/>
      <c r="J198" s="4"/>
      <c r="K198" s="4"/>
      <c r="L198" s="5"/>
      <c r="M198" s="4"/>
      <c r="N198" s="4"/>
      <c r="O198" s="4"/>
      <c r="P198" s="4"/>
      <c r="Q198" s="4"/>
      <c r="R198" s="4"/>
      <c r="S198" s="4"/>
      <c r="T198" s="4"/>
      <c r="U198" s="4"/>
    </row>
    <row r="199" spans="1:24" ht="24" x14ac:dyDescent="0.25">
      <c r="A199" s="16"/>
      <c r="B199" s="11"/>
      <c r="C199" s="15" t="s">
        <v>6</v>
      </c>
      <c r="D199" s="15"/>
      <c r="E199" s="21"/>
      <c r="F199" s="1"/>
      <c r="G199" s="1"/>
      <c r="H199" s="1"/>
      <c r="I199" s="10"/>
      <c r="J199" s="10"/>
      <c r="K199" s="10"/>
      <c r="L199" s="10"/>
      <c r="M199" s="10"/>
      <c r="N199" s="1"/>
      <c r="O199" s="1"/>
      <c r="P199" s="1"/>
      <c r="Q199" s="1"/>
      <c r="R199" s="1"/>
      <c r="S199" s="1"/>
      <c r="T199" s="1"/>
      <c r="U199" s="1"/>
    </row>
    <row r="200" spans="1:24" ht="24" x14ac:dyDescent="0.25">
      <c r="A200" s="16"/>
      <c r="B200" s="11" t="s">
        <v>7</v>
      </c>
      <c r="C200" s="12" t="s">
        <v>1</v>
      </c>
      <c r="D200" s="12"/>
      <c r="E200" s="21">
        <v>3</v>
      </c>
      <c r="F200" s="1">
        <v>14</v>
      </c>
      <c r="G200" s="1">
        <v>21</v>
      </c>
      <c r="H200" s="1">
        <v>29</v>
      </c>
      <c r="I200" s="1">
        <v>40</v>
      </c>
      <c r="J200" s="1">
        <v>54</v>
      </c>
      <c r="K200" s="1">
        <v>64</v>
      </c>
      <c r="L200" s="2">
        <v>74</v>
      </c>
      <c r="M200" s="2">
        <v>86</v>
      </c>
      <c r="N200" s="2">
        <v>101</v>
      </c>
      <c r="O200" s="2">
        <v>116</v>
      </c>
      <c r="P200" s="1">
        <v>167</v>
      </c>
      <c r="Q200" s="2">
        <v>168</v>
      </c>
      <c r="R200" s="2">
        <v>169</v>
      </c>
      <c r="S200" s="2" t="s">
        <v>16</v>
      </c>
      <c r="T200" s="2"/>
      <c r="U200" s="1"/>
    </row>
    <row r="201" spans="1:24" ht="24" x14ac:dyDescent="0.25">
      <c r="A201" s="16"/>
      <c r="B201" s="11"/>
      <c r="C201" s="13" t="s">
        <v>2</v>
      </c>
      <c r="D201" s="13"/>
      <c r="E201" s="2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</row>
    <row r="202" spans="1:24" ht="25" x14ac:dyDescent="0.25">
      <c r="A202" s="16"/>
      <c r="B202" s="11"/>
      <c r="C202" s="14" t="s">
        <v>3</v>
      </c>
      <c r="D202" s="3" t="s">
        <v>4</v>
      </c>
      <c r="E202" s="2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</row>
    <row r="203" spans="1:24" ht="25" x14ac:dyDescent="0.25">
      <c r="A203" s="16"/>
      <c r="B203" s="11"/>
      <c r="C203" s="14"/>
      <c r="D203" s="3" t="s">
        <v>5</v>
      </c>
      <c r="E203" s="21"/>
      <c r="F203" s="4"/>
      <c r="G203" s="4"/>
      <c r="H203" s="4"/>
      <c r="I203" s="4"/>
      <c r="J203" s="4"/>
      <c r="K203" s="4"/>
      <c r="L203" s="5"/>
      <c r="M203" s="4"/>
      <c r="N203" s="4"/>
      <c r="O203" s="4"/>
      <c r="P203" s="4"/>
      <c r="Q203" s="4"/>
      <c r="R203" s="4"/>
      <c r="S203" s="4"/>
      <c r="T203" s="4"/>
      <c r="U203" s="4"/>
    </row>
    <row r="204" spans="1:24" ht="24" x14ac:dyDescent="0.25">
      <c r="A204" s="16"/>
      <c r="B204" s="11"/>
      <c r="C204" s="15" t="s">
        <v>6</v>
      </c>
      <c r="D204" s="15"/>
      <c r="E204" s="21"/>
      <c r="F204" s="1"/>
      <c r="G204" s="1"/>
      <c r="H204" s="1"/>
      <c r="I204" s="10"/>
      <c r="J204" s="10"/>
      <c r="K204" s="10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4" ht="24" x14ac:dyDescent="0.25">
      <c r="A205" s="16"/>
      <c r="B205" s="11" t="s">
        <v>8</v>
      </c>
      <c r="C205" s="12" t="s">
        <v>1</v>
      </c>
      <c r="D205" s="12"/>
      <c r="E205" s="21">
        <v>3</v>
      </c>
      <c r="F205" s="1">
        <v>14</v>
      </c>
      <c r="G205" s="1">
        <v>22</v>
      </c>
      <c r="H205" s="1">
        <v>35</v>
      </c>
      <c r="I205" s="1">
        <v>47</v>
      </c>
      <c r="J205" s="1">
        <v>56</v>
      </c>
      <c r="K205" s="1">
        <v>67</v>
      </c>
      <c r="L205" s="1">
        <v>78</v>
      </c>
      <c r="M205" s="2">
        <v>91</v>
      </c>
      <c r="N205" s="2">
        <v>111</v>
      </c>
      <c r="O205" s="2">
        <v>120</v>
      </c>
      <c r="P205" s="2">
        <v>128</v>
      </c>
      <c r="Q205" s="1">
        <v>138</v>
      </c>
      <c r="R205" s="1">
        <v>147</v>
      </c>
      <c r="S205" s="1">
        <v>156</v>
      </c>
      <c r="T205" s="1">
        <v>211</v>
      </c>
      <c r="U205" s="1">
        <v>2377</v>
      </c>
      <c r="V205" s="1">
        <v>278</v>
      </c>
      <c r="W205" s="1">
        <v>279</v>
      </c>
      <c r="X205" t="s">
        <v>16</v>
      </c>
    </row>
    <row r="206" spans="1:24" ht="24" x14ac:dyDescent="0.25">
      <c r="A206" s="16"/>
      <c r="B206" s="11"/>
      <c r="C206" s="13" t="s">
        <v>2</v>
      </c>
      <c r="D206" s="13"/>
      <c r="E206" s="21"/>
      <c r="F206" s="1"/>
      <c r="G206" s="1"/>
      <c r="H206" s="1"/>
      <c r="I206" s="1"/>
      <c r="J206" s="1"/>
      <c r="K206" s="1"/>
      <c r="L206" s="1"/>
      <c r="M206" s="2"/>
      <c r="N206" s="1"/>
      <c r="O206" s="1"/>
      <c r="P206" s="1"/>
      <c r="Q206" s="1"/>
      <c r="R206" s="1"/>
      <c r="S206" s="1"/>
      <c r="T206" s="1"/>
      <c r="U206" s="1"/>
    </row>
    <row r="207" spans="1:24" ht="25" x14ac:dyDescent="0.25">
      <c r="A207" s="16"/>
      <c r="B207" s="11"/>
      <c r="C207" s="14" t="s">
        <v>3</v>
      </c>
      <c r="D207" s="3" t="s">
        <v>4</v>
      </c>
      <c r="E207" s="21"/>
      <c r="F207" s="1"/>
      <c r="G207" s="1"/>
      <c r="H207" s="1"/>
      <c r="I207" s="1"/>
      <c r="J207" s="1"/>
      <c r="K207" s="1"/>
      <c r="L207" s="1"/>
      <c r="M207" s="2"/>
      <c r="N207" s="1"/>
      <c r="O207" s="1"/>
      <c r="P207" s="1"/>
      <c r="Q207" s="1"/>
      <c r="R207" s="1"/>
      <c r="S207" s="1"/>
      <c r="T207" s="1"/>
      <c r="U207" s="1"/>
    </row>
    <row r="208" spans="1:24" ht="25" x14ac:dyDescent="0.25">
      <c r="A208" s="16"/>
      <c r="B208" s="11"/>
      <c r="C208" s="14"/>
      <c r="D208" s="3" t="s">
        <v>5</v>
      </c>
      <c r="E208" s="21"/>
      <c r="F208" s="4"/>
      <c r="G208" s="4"/>
      <c r="H208" s="4"/>
      <c r="I208" s="4"/>
      <c r="J208" s="4"/>
      <c r="K208" s="4"/>
      <c r="L208" s="4"/>
      <c r="M208" s="5"/>
      <c r="N208" s="4"/>
      <c r="O208" s="4"/>
      <c r="P208" s="4"/>
      <c r="Q208" s="4"/>
      <c r="R208" s="4"/>
      <c r="S208" s="4"/>
      <c r="T208" s="4"/>
      <c r="U208" s="4"/>
    </row>
    <row r="209" spans="1:22" ht="24" x14ac:dyDescent="0.25">
      <c r="A209" s="16"/>
      <c r="B209" s="11"/>
      <c r="C209" s="15" t="s">
        <v>6</v>
      </c>
      <c r="D209" s="15"/>
      <c r="E209" s="21"/>
      <c r="F209" s="1"/>
      <c r="G209" s="1"/>
      <c r="H209" s="1"/>
      <c r="I209" s="1"/>
      <c r="J209" s="10"/>
      <c r="K209" s="10"/>
      <c r="L209" s="10"/>
      <c r="M209" s="10"/>
      <c r="N209" s="1"/>
      <c r="O209" s="1"/>
      <c r="P209" s="1"/>
      <c r="Q209" s="1"/>
      <c r="R209" s="1"/>
      <c r="S209" s="1"/>
      <c r="T209" s="1"/>
      <c r="U209" s="1"/>
    </row>
    <row r="210" spans="1:22" ht="24" x14ac:dyDescent="0.25">
      <c r="A210" s="16"/>
      <c r="B210" s="11" t="s">
        <v>9</v>
      </c>
      <c r="C210" s="12" t="s">
        <v>1</v>
      </c>
      <c r="D210" s="12"/>
      <c r="E210" s="21">
        <v>3</v>
      </c>
      <c r="F210" s="1">
        <v>14</v>
      </c>
      <c r="G210" s="1">
        <v>24</v>
      </c>
      <c r="H210" s="1">
        <v>33</v>
      </c>
      <c r="I210" s="1">
        <v>43</v>
      </c>
      <c r="J210" s="1">
        <v>55</v>
      </c>
      <c r="K210" s="1">
        <v>66</v>
      </c>
      <c r="L210" s="1">
        <v>75</v>
      </c>
      <c r="M210" s="1">
        <v>89</v>
      </c>
      <c r="N210" s="1">
        <v>100</v>
      </c>
      <c r="O210" s="1">
        <v>254</v>
      </c>
      <c r="P210" s="1">
        <v>255</v>
      </c>
      <c r="Q210" s="1">
        <v>256</v>
      </c>
      <c r="R210" s="2" t="s">
        <v>16</v>
      </c>
      <c r="S210" s="2"/>
      <c r="T210" s="2"/>
      <c r="U210" s="2"/>
    </row>
    <row r="211" spans="1:22" ht="24" x14ac:dyDescent="0.25">
      <c r="A211" s="16"/>
      <c r="B211" s="11"/>
      <c r="C211" s="13" t="s">
        <v>2</v>
      </c>
      <c r="D211" s="13"/>
      <c r="E211" s="2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2"/>
      <c r="S211" s="1"/>
      <c r="T211" s="1"/>
      <c r="U211" s="2"/>
    </row>
    <row r="212" spans="1:22" ht="25" x14ac:dyDescent="0.25">
      <c r="A212" s="16"/>
      <c r="B212" s="11"/>
      <c r="C212" s="14" t="s">
        <v>3</v>
      </c>
      <c r="D212" s="3" t="s">
        <v>4</v>
      </c>
      <c r="E212" s="2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2"/>
      <c r="S212" s="1"/>
      <c r="T212" s="1"/>
      <c r="U212" s="2"/>
    </row>
    <row r="213" spans="1:22" ht="25" x14ac:dyDescent="0.25">
      <c r="A213" s="16"/>
      <c r="B213" s="11"/>
      <c r="C213" s="14"/>
      <c r="D213" s="3" t="s">
        <v>5</v>
      </c>
      <c r="E213" s="2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5"/>
      <c r="S213" s="4"/>
      <c r="T213" s="4"/>
      <c r="U213" s="5"/>
    </row>
    <row r="214" spans="1:22" ht="24" x14ac:dyDescent="0.25">
      <c r="A214" s="16"/>
      <c r="B214" s="11"/>
      <c r="C214" s="15" t="s">
        <v>6</v>
      </c>
      <c r="D214" s="15"/>
      <c r="E214" s="21"/>
      <c r="F214" s="1"/>
      <c r="G214" s="1"/>
      <c r="H214" s="1"/>
      <c r="I214" s="1"/>
      <c r="J214" s="1"/>
      <c r="K214" s="1"/>
      <c r="L214" s="1"/>
      <c r="M214" s="1"/>
      <c r="N214" s="10"/>
      <c r="O214" s="10"/>
      <c r="P214" s="10"/>
      <c r="Q214" s="10"/>
      <c r="R214" s="10"/>
      <c r="S214" s="1"/>
      <c r="T214" s="1"/>
      <c r="U214" s="2"/>
    </row>
    <row r="215" spans="1:22" ht="24" x14ac:dyDescent="0.25">
      <c r="A215" s="16"/>
      <c r="B215" s="11" t="s">
        <v>10</v>
      </c>
      <c r="C215" s="12" t="s">
        <v>1</v>
      </c>
      <c r="D215" s="12"/>
      <c r="E215" s="21">
        <v>2</v>
      </c>
      <c r="F215" s="1">
        <v>14</v>
      </c>
      <c r="G215" s="1">
        <v>26</v>
      </c>
      <c r="H215" s="1">
        <v>37</v>
      </c>
      <c r="I215" s="1">
        <v>49</v>
      </c>
      <c r="J215" s="1">
        <v>59</v>
      </c>
      <c r="K215" s="1">
        <v>71</v>
      </c>
      <c r="L215" s="1">
        <v>84</v>
      </c>
      <c r="M215" s="1">
        <v>97</v>
      </c>
      <c r="N215" s="1">
        <v>219</v>
      </c>
      <c r="O215" s="1">
        <v>220</v>
      </c>
      <c r="P215" s="1">
        <v>221</v>
      </c>
      <c r="Q215" s="2" t="s">
        <v>16</v>
      </c>
      <c r="R215" s="2"/>
      <c r="S215" s="2"/>
      <c r="T215" s="1"/>
      <c r="U215" s="1"/>
    </row>
    <row r="216" spans="1:22" ht="24" x14ac:dyDescent="0.25">
      <c r="A216" s="16"/>
      <c r="B216" s="11"/>
      <c r="C216" s="13" t="s">
        <v>2</v>
      </c>
      <c r="D216" s="13"/>
      <c r="E216" s="2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2"/>
      <c r="Q216" s="1"/>
      <c r="R216" s="1"/>
      <c r="S216" s="1"/>
      <c r="T216" s="1"/>
      <c r="U216" s="1"/>
    </row>
    <row r="217" spans="1:22" ht="25" x14ac:dyDescent="0.25">
      <c r="A217" s="16"/>
      <c r="B217" s="11"/>
      <c r="C217" s="14" t="s">
        <v>3</v>
      </c>
      <c r="D217" s="3" t="s">
        <v>4</v>
      </c>
      <c r="E217" s="2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2"/>
      <c r="Q217" s="1"/>
      <c r="R217" s="1"/>
      <c r="S217" s="1"/>
      <c r="T217" s="1"/>
      <c r="U217" s="1"/>
    </row>
    <row r="218" spans="1:22" ht="25" x14ac:dyDescent="0.25">
      <c r="A218" s="16"/>
      <c r="B218" s="11"/>
      <c r="C218" s="14"/>
      <c r="D218" s="3" t="s">
        <v>5</v>
      </c>
      <c r="E218" s="2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5"/>
      <c r="Q218" s="4"/>
      <c r="R218" s="4"/>
      <c r="S218" s="4"/>
      <c r="T218" s="4"/>
      <c r="U218" s="4"/>
    </row>
    <row r="219" spans="1:22" ht="24" x14ac:dyDescent="0.25">
      <c r="A219" s="16"/>
      <c r="B219" s="11"/>
      <c r="C219" s="15" t="s">
        <v>6</v>
      </c>
      <c r="D219" s="15"/>
      <c r="E219" s="21"/>
      <c r="F219" s="1"/>
      <c r="G219" s="1"/>
      <c r="H219" s="1"/>
      <c r="I219" s="1"/>
      <c r="J219" s="1"/>
      <c r="K219" s="1"/>
      <c r="L219" s="1"/>
      <c r="M219" s="10"/>
      <c r="N219" s="10"/>
      <c r="O219" s="10"/>
      <c r="P219" s="10"/>
      <c r="Q219" s="1"/>
      <c r="R219" s="1"/>
      <c r="S219" s="1"/>
      <c r="T219" s="1"/>
      <c r="U219" s="1"/>
    </row>
    <row r="221" spans="1:22" ht="24" x14ac:dyDescent="0.25">
      <c r="A221" s="16" t="s">
        <v>27</v>
      </c>
      <c r="B221" s="11" t="s">
        <v>0</v>
      </c>
      <c r="C221" s="12" t="s">
        <v>1</v>
      </c>
      <c r="D221" s="12"/>
      <c r="E221" s="21">
        <v>1</v>
      </c>
      <c r="F221" s="1">
        <v>10</v>
      </c>
      <c r="G221" s="1">
        <v>20</v>
      </c>
      <c r="H221" s="1">
        <v>29</v>
      </c>
      <c r="I221" s="1">
        <v>38</v>
      </c>
      <c r="J221" s="1">
        <v>49</v>
      </c>
      <c r="K221" s="1">
        <v>58</v>
      </c>
      <c r="L221" s="1">
        <v>68</v>
      </c>
      <c r="M221" s="1">
        <v>81</v>
      </c>
      <c r="N221" s="2">
        <v>99</v>
      </c>
      <c r="O221" s="2">
        <v>116</v>
      </c>
      <c r="P221" s="2">
        <v>127</v>
      </c>
      <c r="Q221" s="1">
        <v>135</v>
      </c>
      <c r="R221" s="1">
        <v>196</v>
      </c>
      <c r="S221" s="2">
        <v>245</v>
      </c>
      <c r="T221" s="2">
        <v>246</v>
      </c>
      <c r="U221" s="2">
        <v>247</v>
      </c>
      <c r="V221" s="23" t="s">
        <v>16</v>
      </c>
    </row>
    <row r="222" spans="1:22" ht="24" x14ac:dyDescent="0.25">
      <c r="A222" s="16"/>
      <c r="B222" s="11"/>
      <c r="C222" s="13" t="s">
        <v>2</v>
      </c>
      <c r="D222" s="13"/>
      <c r="E222" s="2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</row>
    <row r="223" spans="1:22" ht="25" x14ac:dyDescent="0.25">
      <c r="A223" s="16"/>
      <c r="B223" s="11"/>
      <c r="C223" s="14" t="s">
        <v>3</v>
      </c>
      <c r="D223" s="3" t="s">
        <v>4</v>
      </c>
      <c r="E223" s="2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</row>
    <row r="224" spans="1:22" ht="25" x14ac:dyDescent="0.25">
      <c r="A224" s="16"/>
      <c r="B224" s="11"/>
      <c r="C224" s="14"/>
      <c r="D224" s="3" t="s">
        <v>5</v>
      </c>
      <c r="E224" s="21"/>
      <c r="F224" s="4"/>
      <c r="G224" s="4"/>
      <c r="H224" s="4"/>
      <c r="I224" s="4"/>
      <c r="J224" s="4"/>
      <c r="K224" s="4"/>
      <c r="L224" s="5"/>
      <c r="M224" s="4"/>
      <c r="N224" s="4"/>
      <c r="O224" s="4"/>
      <c r="P224" s="4"/>
      <c r="Q224" s="4"/>
      <c r="R224" s="4"/>
      <c r="S224" s="4"/>
      <c r="T224" s="4"/>
      <c r="U224" s="4"/>
    </row>
    <row r="225" spans="1:23" ht="24" x14ac:dyDescent="0.25">
      <c r="A225" s="16"/>
      <c r="B225" s="11"/>
      <c r="C225" s="15" t="s">
        <v>6</v>
      </c>
      <c r="D225" s="15"/>
      <c r="E225" s="21"/>
      <c r="F225" s="1"/>
      <c r="G225" s="1"/>
      <c r="H225" s="1"/>
      <c r="I225" s="10"/>
      <c r="J225" s="10"/>
      <c r="K225" s="10"/>
      <c r="L225" s="10"/>
      <c r="M225" s="10"/>
      <c r="N225" s="1"/>
      <c r="O225" s="1"/>
      <c r="P225" s="1"/>
      <c r="Q225" s="1"/>
      <c r="R225" s="1"/>
      <c r="S225" s="1"/>
      <c r="T225" s="1"/>
      <c r="U225" s="1"/>
    </row>
    <row r="226" spans="1:23" ht="24" x14ac:dyDescent="0.25">
      <c r="A226" s="16"/>
      <c r="B226" s="11" t="s">
        <v>7</v>
      </c>
      <c r="C226" s="12" t="s">
        <v>1</v>
      </c>
      <c r="D226" s="12"/>
      <c r="E226" s="21">
        <v>11</v>
      </c>
      <c r="F226" s="1">
        <v>20</v>
      </c>
      <c r="G226" s="1">
        <v>29</v>
      </c>
      <c r="H226" s="1">
        <v>41</v>
      </c>
      <c r="I226" s="1">
        <v>50</v>
      </c>
      <c r="J226" s="1">
        <v>59</v>
      </c>
      <c r="K226" s="1">
        <v>69</v>
      </c>
      <c r="L226" s="2">
        <v>79</v>
      </c>
      <c r="M226" s="2">
        <v>91</v>
      </c>
      <c r="N226" s="2">
        <v>101</v>
      </c>
      <c r="O226" s="2">
        <v>114</v>
      </c>
      <c r="P226" s="1">
        <v>162</v>
      </c>
      <c r="Q226" s="2">
        <v>320</v>
      </c>
      <c r="R226" s="2">
        <v>321</v>
      </c>
      <c r="S226" s="2">
        <v>322</v>
      </c>
      <c r="T226" s="2" t="s">
        <v>16</v>
      </c>
      <c r="U226" s="1"/>
    </row>
    <row r="227" spans="1:23" ht="24" x14ac:dyDescent="0.25">
      <c r="A227" s="16"/>
      <c r="B227" s="11"/>
      <c r="C227" s="13" t="s">
        <v>2</v>
      </c>
      <c r="D227" s="13"/>
      <c r="E227" s="2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</row>
    <row r="228" spans="1:23" ht="25" x14ac:dyDescent="0.25">
      <c r="A228" s="16"/>
      <c r="B228" s="11"/>
      <c r="C228" s="14" t="s">
        <v>3</v>
      </c>
      <c r="D228" s="3" t="s">
        <v>4</v>
      </c>
      <c r="E228" s="2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</row>
    <row r="229" spans="1:23" ht="25" x14ac:dyDescent="0.25">
      <c r="A229" s="16"/>
      <c r="B229" s="11"/>
      <c r="C229" s="14"/>
      <c r="D229" s="3" t="s">
        <v>5</v>
      </c>
      <c r="E229" s="21"/>
      <c r="F229" s="4"/>
      <c r="G229" s="4"/>
      <c r="H229" s="4"/>
      <c r="I229" s="4"/>
      <c r="J229" s="4"/>
      <c r="K229" s="4"/>
      <c r="L229" s="5"/>
      <c r="M229" s="4"/>
      <c r="N229" s="4"/>
      <c r="O229" s="4"/>
      <c r="P229" s="4"/>
      <c r="Q229" s="4"/>
      <c r="R229" s="4"/>
      <c r="S229" s="4"/>
      <c r="T229" s="4"/>
      <c r="U229" s="4"/>
    </row>
    <row r="230" spans="1:23" ht="24" x14ac:dyDescent="0.25">
      <c r="A230" s="16"/>
      <c r="B230" s="11"/>
      <c r="C230" s="15" t="s">
        <v>6</v>
      </c>
      <c r="D230" s="15"/>
      <c r="E230" s="21"/>
      <c r="F230" s="1"/>
      <c r="G230" s="1"/>
      <c r="H230" s="1"/>
      <c r="I230" s="10"/>
      <c r="J230" s="10"/>
      <c r="K230" s="10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3" ht="24" x14ac:dyDescent="0.25">
      <c r="A231" s="16"/>
      <c r="B231" s="11" t="s">
        <v>8</v>
      </c>
      <c r="C231" s="12" t="s">
        <v>1</v>
      </c>
      <c r="D231" s="12"/>
      <c r="E231" s="21">
        <v>7</v>
      </c>
      <c r="F231" s="1">
        <v>20</v>
      </c>
      <c r="G231" s="1">
        <v>31</v>
      </c>
      <c r="H231" s="1">
        <v>40</v>
      </c>
      <c r="I231" s="1">
        <v>52</v>
      </c>
      <c r="J231" s="1">
        <v>70</v>
      </c>
      <c r="K231" s="1">
        <v>78</v>
      </c>
      <c r="L231" s="1">
        <v>87</v>
      </c>
      <c r="M231" s="2">
        <v>96</v>
      </c>
      <c r="N231" s="2">
        <v>103</v>
      </c>
      <c r="O231" s="2">
        <v>111</v>
      </c>
      <c r="P231" s="2">
        <v>121</v>
      </c>
      <c r="Q231" s="1">
        <v>237</v>
      </c>
      <c r="R231" s="1">
        <v>238</v>
      </c>
      <c r="S231" s="1">
        <v>239</v>
      </c>
      <c r="T231" s="1" t="s">
        <v>16</v>
      </c>
      <c r="U231" s="1"/>
      <c r="V231" s="1"/>
      <c r="W231" s="1"/>
    </row>
    <row r="232" spans="1:23" ht="24" x14ac:dyDescent="0.25">
      <c r="A232" s="16"/>
      <c r="B232" s="11"/>
      <c r="C232" s="13" t="s">
        <v>2</v>
      </c>
      <c r="D232" s="13"/>
      <c r="E232" s="21"/>
      <c r="F232" s="1"/>
      <c r="G232" s="1"/>
      <c r="H232" s="1"/>
      <c r="I232" s="1"/>
      <c r="J232" s="1"/>
      <c r="K232" s="1"/>
      <c r="L232" s="1"/>
      <c r="M232" s="2"/>
      <c r="N232" s="1"/>
      <c r="O232" s="1"/>
      <c r="P232" s="1"/>
      <c r="Q232" s="1"/>
      <c r="R232" s="1"/>
      <c r="S232" s="1"/>
      <c r="T232" s="1"/>
      <c r="U232" s="1"/>
    </row>
    <row r="233" spans="1:23" ht="25" x14ac:dyDescent="0.25">
      <c r="A233" s="16"/>
      <c r="B233" s="11"/>
      <c r="C233" s="14" t="s">
        <v>3</v>
      </c>
      <c r="D233" s="3" t="s">
        <v>4</v>
      </c>
      <c r="E233" s="21"/>
      <c r="F233" s="1"/>
      <c r="G233" s="1"/>
      <c r="H233" s="1"/>
      <c r="I233" s="1"/>
      <c r="J233" s="1"/>
      <c r="K233" s="1"/>
      <c r="L233" s="1"/>
      <c r="M233" s="2"/>
      <c r="N233" s="1"/>
      <c r="O233" s="1"/>
      <c r="P233" s="1"/>
      <c r="Q233" s="1"/>
      <c r="R233" s="1"/>
      <c r="S233" s="1"/>
      <c r="T233" s="1"/>
      <c r="U233" s="1"/>
    </row>
    <row r="234" spans="1:23" ht="25" x14ac:dyDescent="0.25">
      <c r="A234" s="16"/>
      <c r="B234" s="11"/>
      <c r="C234" s="14"/>
      <c r="D234" s="3" t="s">
        <v>5</v>
      </c>
      <c r="E234" s="21"/>
      <c r="F234" s="4"/>
      <c r="G234" s="4"/>
      <c r="H234" s="4"/>
      <c r="I234" s="4"/>
      <c r="J234" s="4"/>
      <c r="K234" s="4"/>
      <c r="L234" s="4"/>
      <c r="M234" s="5"/>
      <c r="N234" s="4"/>
      <c r="O234" s="4"/>
      <c r="P234" s="4"/>
      <c r="Q234" s="4"/>
      <c r="R234" s="4"/>
      <c r="S234" s="4"/>
      <c r="T234" s="4"/>
      <c r="U234" s="4"/>
    </row>
    <row r="235" spans="1:23" ht="24" x14ac:dyDescent="0.25">
      <c r="A235" s="16"/>
      <c r="B235" s="11"/>
      <c r="C235" s="15" t="s">
        <v>6</v>
      </c>
      <c r="D235" s="15"/>
      <c r="E235" s="21"/>
      <c r="F235" s="1"/>
      <c r="G235" s="1"/>
      <c r="H235" s="1"/>
      <c r="I235" s="1"/>
      <c r="J235" s="10"/>
      <c r="K235" s="10"/>
      <c r="L235" s="10"/>
      <c r="M235" s="10"/>
      <c r="N235" s="1"/>
      <c r="O235" s="1"/>
      <c r="P235" s="1"/>
      <c r="Q235" s="1"/>
      <c r="R235" s="1"/>
      <c r="S235" s="1"/>
      <c r="T235" s="1"/>
      <c r="U235" s="1"/>
    </row>
    <row r="236" spans="1:23" ht="24" x14ac:dyDescent="0.25">
      <c r="A236" s="16"/>
      <c r="B236" s="11" t="s">
        <v>9</v>
      </c>
      <c r="C236" s="12" t="s">
        <v>1</v>
      </c>
      <c r="D236" s="12"/>
      <c r="E236" s="21">
        <v>7</v>
      </c>
      <c r="F236" s="1">
        <v>21</v>
      </c>
      <c r="G236" s="1">
        <v>34</v>
      </c>
      <c r="H236" s="1">
        <v>47</v>
      </c>
      <c r="I236" s="1">
        <v>60</v>
      </c>
      <c r="J236" s="1">
        <v>71</v>
      </c>
      <c r="K236" s="1">
        <v>87</v>
      </c>
      <c r="L236" s="1">
        <v>102</v>
      </c>
      <c r="M236" s="1">
        <v>133</v>
      </c>
      <c r="N236" s="1">
        <v>306</v>
      </c>
      <c r="O236" s="1">
        <v>307</v>
      </c>
      <c r="P236" s="1">
        <v>308</v>
      </c>
      <c r="Q236" s="1" t="s">
        <v>16</v>
      </c>
      <c r="R236" s="2"/>
      <c r="S236" s="2"/>
      <c r="T236" s="2"/>
      <c r="U236" s="2"/>
    </row>
    <row r="237" spans="1:23" ht="24" x14ac:dyDescent="0.25">
      <c r="A237" s="16"/>
      <c r="B237" s="11"/>
      <c r="C237" s="13" t="s">
        <v>2</v>
      </c>
      <c r="D237" s="13"/>
      <c r="E237" s="2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2"/>
      <c r="S237" s="1"/>
      <c r="T237" s="1"/>
      <c r="U237" s="2"/>
    </row>
    <row r="238" spans="1:23" ht="25" x14ac:dyDescent="0.25">
      <c r="A238" s="16"/>
      <c r="B238" s="11"/>
      <c r="C238" s="14" t="s">
        <v>3</v>
      </c>
      <c r="D238" s="3" t="s">
        <v>4</v>
      </c>
      <c r="E238" s="2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2"/>
      <c r="S238" s="1"/>
      <c r="T238" s="1"/>
      <c r="U238" s="2"/>
    </row>
    <row r="239" spans="1:23" ht="25" x14ac:dyDescent="0.25">
      <c r="A239" s="16"/>
      <c r="B239" s="11"/>
      <c r="C239" s="14"/>
      <c r="D239" s="3" t="s">
        <v>5</v>
      </c>
      <c r="E239" s="2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/>
      <c r="S239" s="4"/>
      <c r="T239" s="4"/>
      <c r="U239" s="5"/>
    </row>
    <row r="240" spans="1:23" ht="24" x14ac:dyDescent="0.25">
      <c r="A240" s="16"/>
      <c r="B240" s="11"/>
      <c r="C240" s="15" t="s">
        <v>6</v>
      </c>
      <c r="D240" s="15"/>
      <c r="E240" s="21"/>
      <c r="F240" s="1"/>
      <c r="G240" s="1"/>
      <c r="H240" s="1"/>
      <c r="I240" s="1"/>
      <c r="J240" s="1"/>
      <c r="K240" s="1"/>
      <c r="L240" s="1"/>
      <c r="M240" s="1"/>
      <c r="N240" s="10"/>
      <c r="O240" s="10"/>
      <c r="P240" s="10"/>
      <c r="Q240" s="10"/>
      <c r="R240" s="10"/>
      <c r="S240" s="1"/>
      <c r="T240" s="1"/>
      <c r="U240" s="2"/>
    </row>
    <row r="241" spans="1:21" ht="24" x14ac:dyDescent="0.25">
      <c r="A241" s="16"/>
      <c r="B241" s="11" t="s">
        <v>10</v>
      </c>
      <c r="C241" s="12" t="s">
        <v>1</v>
      </c>
      <c r="D241" s="12"/>
      <c r="E241" s="21">
        <v>9</v>
      </c>
      <c r="F241" s="1">
        <v>24</v>
      </c>
      <c r="G241" s="1">
        <v>36</v>
      </c>
      <c r="H241" s="1">
        <v>47</v>
      </c>
      <c r="I241" s="1">
        <v>59</v>
      </c>
      <c r="J241" s="1">
        <v>70</v>
      </c>
      <c r="K241" s="1">
        <v>85</v>
      </c>
      <c r="L241" s="1">
        <v>102</v>
      </c>
      <c r="M241" s="1">
        <v>118</v>
      </c>
      <c r="N241" s="1">
        <v>171</v>
      </c>
      <c r="O241" s="1">
        <v>172</v>
      </c>
      <c r="P241" s="1">
        <v>173</v>
      </c>
      <c r="Q241" s="2" t="s">
        <v>16</v>
      </c>
      <c r="R241" s="2"/>
      <c r="S241" s="2"/>
      <c r="T241" s="1"/>
      <c r="U241" s="1"/>
    </row>
    <row r="242" spans="1:21" ht="24" x14ac:dyDescent="0.25">
      <c r="A242" s="16"/>
      <c r="B242" s="11"/>
      <c r="C242" s="13" t="s">
        <v>2</v>
      </c>
      <c r="D242" s="13"/>
      <c r="E242" s="2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2"/>
      <c r="Q242" s="1"/>
      <c r="R242" s="1"/>
      <c r="S242" s="1"/>
      <c r="T242" s="1"/>
      <c r="U242" s="1"/>
    </row>
    <row r="243" spans="1:21" ht="25" x14ac:dyDescent="0.25">
      <c r="A243" s="16"/>
      <c r="B243" s="11"/>
      <c r="C243" s="14" t="s">
        <v>3</v>
      </c>
      <c r="D243" s="3" t="s">
        <v>4</v>
      </c>
      <c r="E243" s="2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2"/>
      <c r="Q243" s="1"/>
      <c r="R243" s="1"/>
      <c r="S243" s="1"/>
      <c r="T243" s="1"/>
      <c r="U243" s="1"/>
    </row>
    <row r="244" spans="1:21" ht="25" x14ac:dyDescent="0.25">
      <c r="A244" s="16"/>
      <c r="B244" s="11"/>
      <c r="C244" s="14"/>
      <c r="D244" s="3" t="s">
        <v>5</v>
      </c>
      <c r="E244" s="2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5"/>
      <c r="Q244" s="4"/>
      <c r="R244" s="4"/>
      <c r="S244" s="4"/>
      <c r="T244" s="4"/>
      <c r="U244" s="4"/>
    </row>
    <row r="245" spans="1:21" ht="24" x14ac:dyDescent="0.25">
      <c r="A245" s="16"/>
      <c r="B245" s="11"/>
      <c r="C245" s="15" t="s">
        <v>6</v>
      </c>
      <c r="D245" s="15"/>
      <c r="E245" s="21"/>
      <c r="F245" s="1"/>
      <c r="G245" s="1"/>
      <c r="H245" s="1"/>
      <c r="I245" s="1"/>
      <c r="J245" s="1"/>
      <c r="K245" s="1"/>
      <c r="L245" s="1"/>
      <c r="M245" s="10"/>
      <c r="N245" s="10"/>
      <c r="O245" s="10"/>
      <c r="P245" s="10"/>
      <c r="Q245" s="1"/>
      <c r="R245" s="1"/>
      <c r="S245" s="1"/>
      <c r="T245" s="1"/>
      <c r="U245" s="1"/>
    </row>
  </sheetData>
  <mergeCells count="244">
    <mergeCell ref="C238:C239"/>
    <mergeCell ref="C240:D240"/>
    <mergeCell ref="B241:B245"/>
    <mergeCell ref="C241:D241"/>
    <mergeCell ref="C242:D242"/>
    <mergeCell ref="C243:C244"/>
    <mergeCell ref="C245:D245"/>
    <mergeCell ref="A221:A245"/>
    <mergeCell ref="B221:B225"/>
    <mergeCell ref="C222:D222"/>
    <mergeCell ref="C223:C224"/>
    <mergeCell ref="B226:B230"/>
    <mergeCell ref="C227:D227"/>
    <mergeCell ref="C228:C229"/>
    <mergeCell ref="C230:D230"/>
    <mergeCell ref="B231:B235"/>
    <mergeCell ref="C231:D231"/>
    <mergeCell ref="C232:D232"/>
    <mergeCell ref="C233:C234"/>
    <mergeCell ref="C235:D235"/>
    <mergeCell ref="B236:B240"/>
    <mergeCell ref="C236:D236"/>
    <mergeCell ref="C237:D237"/>
    <mergeCell ref="C225:D225"/>
    <mergeCell ref="C226:D226"/>
    <mergeCell ref="C221:D221"/>
    <mergeCell ref="B215:B219"/>
    <mergeCell ref="C215:D215"/>
    <mergeCell ref="C216:D216"/>
    <mergeCell ref="C217:C218"/>
    <mergeCell ref="C219:D219"/>
    <mergeCell ref="B210:B214"/>
    <mergeCell ref="C210:D210"/>
    <mergeCell ref="C211:D211"/>
    <mergeCell ref="C212:C213"/>
    <mergeCell ref="C214:D214"/>
    <mergeCell ref="A195:A219"/>
    <mergeCell ref="B195:B199"/>
    <mergeCell ref="C195:D195"/>
    <mergeCell ref="C196:D196"/>
    <mergeCell ref="C197:C198"/>
    <mergeCell ref="C199:D199"/>
    <mergeCell ref="B200:B204"/>
    <mergeCell ref="C200:D200"/>
    <mergeCell ref="C201:D201"/>
    <mergeCell ref="C202:C203"/>
    <mergeCell ref="C204:D204"/>
    <mergeCell ref="B205:B209"/>
    <mergeCell ref="C205:D205"/>
    <mergeCell ref="C206:D206"/>
    <mergeCell ref="C207:C208"/>
    <mergeCell ref="C209:D209"/>
    <mergeCell ref="B189:B193"/>
    <mergeCell ref="C189:D189"/>
    <mergeCell ref="C190:D190"/>
    <mergeCell ref="C191:C192"/>
    <mergeCell ref="C193:D193"/>
    <mergeCell ref="B184:B188"/>
    <mergeCell ref="C184:D184"/>
    <mergeCell ref="C185:D185"/>
    <mergeCell ref="C186:C187"/>
    <mergeCell ref="C188:D188"/>
    <mergeCell ref="B179:B183"/>
    <mergeCell ref="C179:D179"/>
    <mergeCell ref="C180:D180"/>
    <mergeCell ref="C181:C182"/>
    <mergeCell ref="C183:D183"/>
    <mergeCell ref="C173:D173"/>
    <mergeCell ref="B174:B178"/>
    <mergeCell ref="C174:D174"/>
    <mergeCell ref="C175:D175"/>
    <mergeCell ref="C176:C177"/>
    <mergeCell ref="C178:D178"/>
    <mergeCell ref="E128:E132"/>
    <mergeCell ref="A159:A193"/>
    <mergeCell ref="B159:B163"/>
    <mergeCell ref="C159:D159"/>
    <mergeCell ref="C160:D160"/>
    <mergeCell ref="C161:C162"/>
    <mergeCell ref="C163:D163"/>
    <mergeCell ref="B164:B168"/>
    <mergeCell ref="C164:D164"/>
    <mergeCell ref="C165:D165"/>
    <mergeCell ref="C166:C167"/>
    <mergeCell ref="C168:D168"/>
    <mergeCell ref="B169:B173"/>
    <mergeCell ref="C169:D169"/>
    <mergeCell ref="C170:D170"/>
    <mergeCell ref="C171:C172"/>
    <mergeCell ref="B153:B157"/>
    <mergeCell ref="C153:D153"/>
    <mergeCell ref="C154:D154"/>
    <mergeCell ref="C155:C156"/>
    <mergeCell ref="C157:D157"/>
    <mergeCell ref="C143:D143"/>
    <mergeCell ref="C144:D144"/>
    <mergeCell ref="C145:C146"/>
    <mergeCell ref="C147:D147"/>
    <mergeCell ref="B148:B152"/>
    <mergeCell ref="C148:D148"/>
    <mergeCell ref="C149:D149"/>
    <mergeCell ref="C150:C151"/>
    <mergeCell ref="C152:D152"/>
    <mergeCell ref="A128:A157"/>
    <mergeCell ref="B128:B132"/>
    <mergeCell ref="C129:D129"/>
    <mergeCell ref="C130:C131"/>
    <mergeCell ref="C132:D132"/>
    <mergeCell ref="B133:B137"/>
    <mergeCell ref="C133:D133"/>
    <mergeCell ref="C134:D134"/>
    <mergeCell ref="C135:C136"/>
    <mergeCell ref="C137:D137"/>
    <mergeCell ref="B138:B142"/>
    <mergeCell ref="C138:D138"/>
    <mergeCell ref="C139:D139"/>
    <mergeCell ref="C140:C141"/>
    <mergeCell ref="C142:D142"/>
    <mergeCell ref="B143:B147"/>
    <mergeCell ref="C128:D128"/>
    <mergeCell ref="B122:B126"/>
    <mergeCell ref="C122:D122"/>
    <mergeCell ref="C123:D123"/>
    <mergeCell ref="C124:C125"/>
    <mergeCell ref="C126:D126"/>
    <mergeCell ref="B117:B121"/>
    <mergeCell ref="C117:D117"/>
    <mergeCell ref="C118:D118"/>
    <mergeCell ref="C119:C120"/>
    <mergeCell ref="C121:D121"/>
    <mergeCell ref="B112:B116"/>
    <mergeCell ref="C112:D112"/>
    <mergeCell ref="C113:D113"/>
    <mergeCell ref="C114:C115"/>
    <mergeCell ref="C116:D116"/>
    <mergeCell ref="A97:A126"/>
    <mergeCell ref="B97:B101"/>
    <mergeCell ref="C97:D97"/>
    <mergeCell ref="C98:D98"/>
    <mergeCell ref="C99:C100"/>
    <mergeCell ref="C101:D101"/>
    <mergeCell ref="B102:B106"/>
    <mergeCell ref="C102:D102"/>
    <mergeCell ref="C103:D103"/>
    <mergeCell ref="C104:C105"/>
    <mergeCell ref="C106:D106"/>
    <mergeCell ref="B107:B111"/>
    <mergeCell ref="C107:D107"/>
    <mergeCell ref="C108:D108"/>
    <mergeCell ref="C109:C110"/>
    <mergeCell ref="C111:D111"/>
    <mergeCell ref="A4:A38"/>
    <mergeCell ref="B4:B8"/>
    <mergeCell ref="C4:D4"/>
    <mergeCell ref="C5:D5"/>
    <mergeCell ref="C6:C7"/>
    <mergeCell ref="C8:D8"/>
    <mergeCell ref="B9:B13"/>
    <mergeCell ref="C9:D9"/>
    <mergeCell ref="C10:D10"/>
    <mergeCell ref="C11:C12"/>
    <mergeCell ref="C13:D13"/>
    <mergeCell ref="B14:B18"/>
    <mergeCell ref="C14:D14"/>
    <mergeCell ref="C15:D15"/>
    <mergeCell ref="C16:C17"/>
    <mergeCell ref="C18:D18"/>
    <mergeCell ref="B24:B28"/>
    <mergeCell ref="C24:D24"/>
    <mergeCell ref="C25:D25"/>
    <mergeCell ref="C26:C27"/>
    <mergeCell ref="C28:D28"/>
    <mergeCell ref="B19:B23"/>
    <mergeCell ref="C19:D19"/>
    <mergeCell ref="C20:D20"/>
    <mergeCell ref="C21:C22"/>
    <mergeCell ref="C23:D23"/>
    <mergeCell ref="B34:B38"/>
    <mergeCell ref="C34:D34"/>
    <mergeCell ref="C35:D35"/>
    <mergeCell ref="C36:C37"/>
    <mergeCell ref="C38:D38"/>
    <mergeCell ref="B29:B33"/>
    <mergeCell ref="C29:D29"/>
    <mergeCell ref="C30:D30"/>
    <mergeCell ref="C31:C32"/>
    <mergeCell ref="C33:D33"/>
    <mergeCell ref="A40:A59"/>
    <mergeCell ref="B40:B44"/>
    <mergeCell ref="C40:D40"/>
    <mergeCell ref="C41:D41"/>
    <mergeCell ref="C42:C43"/>
    <mergeCell ref="C44:D44"/>
    <mergeCell ref="B45:B49"/>
    <mergeCell ref="C45:D45"/>
    <mergeCell ref="C46:D46"/>
    <mergeCell ref="C47:C48"/>
    <mergeCell ref="C49:D49"/>
    <mergeCell ref="B50:B54"/>
    <mergeCell ref="C50:D50"/>
    <mergeCell ref="C51:D51"/>
    <mergeCell ref="C52:C53"/>
    <mergeCell ref="C54:D54"/>
    <mergeCell ref="B55:B59"/>
    <mergeCell ref="C55:D55"/>
    <mergeCell ref="C56:D56"/>
    <mergeCell ref="C57:C58"/>
    <mergeCell ref="C59:D59"/>
    <mergeCell ref="C70:D70"/>
    <mergeCell ref="C71:D71"/>
    <mergeCell ref="C65:D65"/>
    <mergeCell ref="C66:D66"/>
    <mergeCell ref="C61:D61"/>
    <mergeCell ref="A61:A95"/>
    <mergeCell ref="B61:B65"/>
    <mergeCell ref="C62:D62"/>
    <mergeCell ref="C63:C64"/>
    <mergeCell ref="B66:B70"/>
    <mergeCell ref="C67:D67"/>
    <mergeCell ref="C68:C69"/>
    <mergeCell ref="B71:B75"/>
    <mergeCell ref="C72:D72"/>
    <mergeCell ref="C73:C74"/>
    <mergeCell ref="C75:D75"/>
    <mergeCell ref="B76:B80"/>
    <mergeCell ref="C76:D76"/>
    <mergeCell ref="C77:D77"/>
    <mergeCell ref="C78:C79"/>
    <mergeCell ref="C80:D80"/>
    <mergeCell ref="B81:B85"/>
    <mergeCell ref="C81:D81"/>
    <mergeCell ref="C82:D82"/>
    <mergeCell ref="C83:C84"/>
    <mergeCell ref="C85:D85"/>
    <mergeCell ref="B86:B90"/>
    <mergeCell ref="C86:D86"/>
    <mergeCell ref="C87:D87"/>
    <mergeCell ref="C88:C89"/>
    <mergeCell ref="C90:D90"/>
    <mergeCell ref="B91:B95"/>
    <mergeCell ref="C91:D91"/>
    <mergeCell ref="C92:D92"/>
    <mergeCell ref="C93:C94"/>
    <mergeCell ref="C95:D95"/>
  </mergeCells>
  <conditionalFormatting sqref="S8 C81:U81 C128:D128 F128:U128">
    <cfRule type="cellIs" dxfId="20" priority="21" operator="between">
      <formula>88</formula>
      <formula>131</formula>
    </cfRule>
  </conditionalFormatting>
  <conditionalFormatting sqref="C4:Z4 C9:AD9 C14:W14 C19:W19 C24:W24 C29:W29 C34:Y34">
    <cfRule type="cellIs" dxfId="19" priority="20" operator="between">
      <formula>88</formula>
      <formula>131</formula>
    </cfRule>
  </conditionalFormatting>
  <conditionalFormatting sqref="S44">
    <cfRule type="cellIs" dxfId="18" priority="19" operator="between">
      <formula>88</formula>
      <formula>131</formula>
    </cfRule>
  </conditionalFormatting>
  <conditionalFormatting sqref="C40:S40 C45:S45 C55:S55 C50:T50">
    <cfRule type="cellIs" dxfId="17" priority="18" operator="between">
      <formula>88</formula>
      <formula>131</formula>
    </cfRule>
  </conditionalFormatting>
  <conditionalFormatting sqref="S65">
    <cfRule type="cellIs" dxfId="16" priority="17" operator="between">
      <formula>88</formula>
      <formula>131</formula>
    </cfRule>
  </conditionalFormatting>
  <conditionalFormatting sqref="C61:U61 C66:U66 C71:U71 C76:U76 C86:U86 C91:U91">
    <cfRule type="cellIs" dxfId="15" priority="16" operator="between">
      <formula>88</formula>
      <formula>131</formula>
    </cfRule>
  </conditionalFormatting>
  <conditionalFormatting sqref="C117:U117">
    <cfRule type="cellIs" dxfId="14" priority="15" operator="between">
      <formula>88</formula>
      <formula>131</formula>
    </cfRule>
  </conditionalFormatting>
  <conditionalFormatting sqref="S101">
    <cfRule type="cellIs" dxfId="13" priority="14" operator="between">
      <formula>88</formula>
      <formula>131</formula>
    </cfRule>
  </conditionalFormatting>
  <conditionalFormatting sqref="C97:U97 C107:U107 C112:U112 C102:W102 C122:V122">
    <cfRule type="cellIs" dxfId="12" priority="13" operator="between">
      <formula>88</formula>
      <formula>131</formula>
    </cfRule>
  </conditionalFormatting>
  <conditionalFormatting sqref="C148:U148">
    <cfRule type="cellIs" dxfId="11" priority="12" operator="between">
      <formula>88</formula>
      <formula>131</formula>
    </cfRule>
  </conditionalFormatting>
  <conditionalFormatting sqref="S132">
    <cfRule type="cellIs" dxfId="10" priority="11" operator="between">
      <formula>88</formula>
      <formula>131</formula>
    </cfRule>
  </conditionalFormatting>
  <conditionalFormatting sqref="C138:U138 C143:U143 C133:W133 C153:V153">
    <cfRule type="cellIs" dxfId="9" priority="10" operator="between">
      <formula>88</formula>
      <formula>131</formula>
    </cfRule>
  </conditionalFormatting>
  <conditionalFormatting sqref="C179:U179">
    <cfRule type="cellIs" dxfId="8" priority="9" operator="between">
      <formula>88</formula>
      <formula>131</formula>
    </cfRule>
  </conditionalFormatting>
  <conditionalFormatting sqref="S163">
    <cfRule type="cellIs" dxfId="7" priority="8" operator="between">
      <formula>88</formula>
      <formula>131</formula>
    </cfRule>
  </conditionalFormatting>
  <conditionalFormatting sqref="C159:U159 C164:U164 C169:U169 C174:U174 C184:U184 C189:U189">
    <cfRule type="cellIs" dxfId="6" priority="7" operator="between">
      <formula>88</formula>
      <formula>131</formula>
    </cfRule>
  </conditionalFormatting>
  <conditionalFormatting sqref="C215:U215">
    <cfRule type="cellIs" dxfId="5" priority="6" operator="between">
      <formula>88</formula>
      <formula>131</formula>
    </cfRule>
  </conditionalFormatting>
  <conditionalFormatting sqref="S199">
    <cfRule type="cellIs" dxfId="4" priority="5" operator="between">
      <formula>88</formula>
      <formula>131</formula>
    </cfRule>
  </conditionalFormatting>
  <conditionalFormatting sqref="C195:U195 C200:U200 C210:U210 C205:W205">
    <cfRule type="cellIs" dxfId="3" priority="4" operator="between">
      <formula>88</formula>
      <formula>131</formula>
    </cfRule>
  </conditionalFormatting>
  <conditionalFormatting sqref="C241:U241">
    <cfRule type="cellIs" dxfId="2" priority="3" operator="between">
      <formula>88</formula>
      <formula>131</formula>
    </cfRule>
  </conditionalFormatting>
  <conditionalFormatting sqref="S225">
    <cfRule type="cellIs" dxfId="1" priority="2" operator="between">
      <formula>88</formula>
      <formula>131</formula>
    </cfRule>
  </conditionalFormatting>
  <conditionalFormatting sqref="C221:U221 C226:U226 C236:U236 C231:W231">
    <cfRule type="cellIs" dxfId="0" priority="1" operator="between">
      <formula>88</formula>
      <formula>131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2023-06-16T10:23:55Z</dcterms:created>
  <dcterms:modified xsi:type="dcterms:W3CDTF">2023-06-21T15:27:18Z</dcterms:modified>
</cp:coreProperties>
</file>